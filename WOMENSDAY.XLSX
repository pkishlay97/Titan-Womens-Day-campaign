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0730" windowHeight="9990" activeTab="6"/>
  </bookViews>
  <sheets>
    <sheet name="Sheet1" sheetId="1" r:id="rId1"/>
    <sheet name="AGEGRP" sheetId="2" r:id="rId2"/>
    <sheet name="CLUSTER" sheetId="3" r:id="rId3"/>
    <sheet name="SHEET 2" sheetId="4" r:id="rId4"/>
    <sheet name="TANISHQ MIA" sheetId="5" r:id="rId5"/>
    <sheet name="SHEET 3" sheetId="6" r:id="rId6"/>
    <sheet name="EYEPLUS" sheetId="7" r:id="rId7"/>
  </sheets>
  <calcPr calcId="124519"/>
</workbook>
</file>

<file path=xl/calcChain.xml><?xml version="1.0" encoding="utf-8"?>
<calcChain xmlns="http://schemas.openxmlformats.org/spreadsheetml/2006/main">
  <c r="E39" i="7"/>
  <c r="E40"/>
  <c r="E41"/>
  <c r="E42"/>
  <c r="E43"/>
  <c r="E44"/>
  <c r="E45"/>
  <c r="E46"/>
  <c r="E47"/>
  <c r="E48"/>
  <c r="E49"/>
  <c r="E50"/>
  <c r="E51"/>
  <c r="E52"/>
  <c r="E38"/>
  <c r="U4" i="6"/>
  <c r="U5"/>
  <c r="U6"/>
  <c r="U7"/>
  <c r="U8"/>
  <c r="U9"/>
  <c r="U10"/>
  <c r="U11"/>
  <c r="U12"/>
  <c r="U13"/>
  <c r="U14"/>
  <c r="U15"/>
  <c r="U16"/>
  <c r="U17"/>
  <c r="U3"/>
  <c r="E29" i="7"/>
  <c r="E30"/>
  <c r="E31"/>
  <c r="E32"/>
  <c r="E33"/>
  <c r="E28"/>
  <c r="M4" i="6"/>
  <c r="M5"/>
  <c r="M6"/>
  <c r="M7"/>
  <c r="M8"/>
  <c r="M3"/>
  <c r="E16" i="7"/>
  <c r="E14"/>
  <c r="E11"/>
  <c r="E15"/>
  <c r="E4"/>
  <c r="E6"/>
  <c r="E21"/>
  <c r="E8"/>
  <c r="E9"/>
  <c r="E18"/>
  <c r="E17"/>
  <c r="E20"/>
  <c r="E7"/>
  <c r="E13"/>
  <c r="E10"/>
  <c r="E5"/>
  <c r="E12"/>
  <c r="E19"/>
  <c r="E23"/>
  <c r="E22"/>
  <c r="E4" i="6"/>
  <c r="E5"/>
  <c r="E6"/>
  <c r="E7"/>
  <c r="E8"/>
  <c r="E9"/>
  <c r="E10"/>
  <c r="E11"/>
  <c r="E12"/>
  <c r="E13"/>
  <c r="E14"/>
  <c r="E15"/>
  <c r="E16"/>
  <c r="E17"/>
  <c r="E18"/>
  <c r="E19"/>
  <c r="E20"/>
  <c r="E21"/>
  <c r="E22"/>
  <c r="E3"/>
  <c r="F97" i="5"/>
  <c r="F98"/>
  <c r="F99"/>
  <c r="F96"/>
  <c r="F82"/>
  <c r="F83"/>
  <c r="F84"/>
  <c r="F85"/>
  <c r="F86"/>
  <c r="F87"/>
  <c r="F88"/>
  <c r="F89"/>
  <c r="F90"/>
  <c r="F91"/>
  <c r="F81"/>
  <c r="F73"/>
  <c r="F74"/>
  <c r="F75"/>
  <c r="F72"/>
  <c r="F63"/>
  <c r="F64"/>
  <c r="F65"/>
  <c r="F66"/>
  <c r="F62"/>
  <c r="X15" i="4"/>
  <c r="X16"/>
  <c r="X17"/>
  <c r="X14"/>
  <c r="X24"/>
  <c r="X25"/>
  <c r="X26"/>
  <c r="X23"/>
  <c r="R24"/>
  <c r="R25"/>
  <c r="R26"/>
  <c r="R27"/>
  <c r="R28"/>
  <c r="R29"/>
  <c r="R30"/>
  <c r="R31"/>
  <c r="R32"/>
  <c r="R33"/>
  <c r="R23"/>
  <c r="R15"/>
  <c r="R16"/>
  <c r="R17"/>
  <c r="R18"/>
  <c r="R14"/>
  <c r="F52" i="5"/>
  <c r="F53"/>
  <c r="F54"/>
  <c r="F55"/>
  <c r="F51"/>
  <c r="F42"/>
  <c r="F43"/>
  <c r="F44"/>
  <c r="F45"/>
  <c r="F46"/>
  <c r="F47"/>
  <c r="F41"/>
  <c r="R4" i="4"/>
  <c r="R5"/>
  <c r="R6"/>
  <c r="R7"/>
  <c r="R8"/>
  <c r="R9"/>
  <c r="R3"/>
  <c r="X4"/>
  <c r="X5"/>
  <c r="X6"/>
  <c r="X7"/>
  <c r="X3"/>
  <c r="F17" i="5"/>
  <c r="F25"/>
  <c r="F32"/>
  <c r="F33"/>
  <c r="F30"/>
  <c r="F23"/>
  <c r="F18"/>
  <c r="F29"/>
  <c r="F20"/>
  <c r="F31"/>
  <c r="F27"/>
  <c r="F19"/>
  <c r="F28"/>
  <c r="F26"/>
  <c r="F34"/>
  <c r="F24"/>
  <c r="F22"/>
  <c r="F21"/>
  <c r="F35"/>
  <c r="F5"/>
  <c r="F4"/>
  <c r="F11"/>
  <c r="F7"/>
  <c r="F12"/>
  <c r="F6"/>
  <c r="F8"/>
  <c r="F9"/>
  <c r="F10"/>
  <c r="L4" i="4"/>
  <c r="L5"/>
  <c r="L6"/>
  <c r="L7"/>
  <c r="L8"/>
  <c r="L9"/>
  <c r="L10"/>
  <c r="L11"/>
  <c r="L12"/>
  <c r="L13"/>
  <c r="L14"/>
  <c r="L15"/>
  <c r="L16"/>
  <c r="L17"/>
  <c r="L18"/>
  <c r="L19"/>
  <c r="L20"/>
  <c r="L21"/>
  <c r="L3"/>
  <c r="E4"/>
  <c r="E5"/>
  <c r="E6"/>
  <c r="E7"/>
  <c r="E8"/>
  <c r="E9"/>
  <c r="E10"/>
  <c r="E11"/>
  <c r="E3"/>
  <c r="U5" i="1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4"/>
  <c r="X5"/>
  <c r="X6"/>
  <c r="X7"/>
  <c r="X8"/>
  <c r="X9"/>
  <c r="X10"/>
  <c r="X11"/>
  <c r="X12"/>
  <c r="X13"/>
  <c r="X14"/>
  <c r="X15"/>
  <c r="E9" i="3"/>
  <c r="E4"/>
  <c r="E14"/>
  <c r="E11"/>
  <c r="E22"/>
  <c r="E21"/>
  <c r="E23"/>
  <c r="E17"/>
  <c r="E5"/>
  <c r="E18"/>
  <c r="E15"/>
  <c r="E16"/>
  <c r="E6"/>
  <c r="E12"/>
  <c r="E19"/>
  <c r="E20"/>
  <c r="E7"/>
  <c r="E8"/>
  <c r="E10"/>
  <c r="E13"/>
  <c r="Q5" i="1"/>
  <c r="Q6"/>
  <c r="Q7"/>
  <c r="Q8"/>
  <c r="Q9"/>
  <c r="Q10"/>
  <c r="Q11"/>
  <c r="Q12"/>
  <c r="Q13"/>
  <c r="Q14"/>
  <c r="Q15"/>
  <c r="Q16"/>
  <c r="Q17"/>
  <c r="Q18"/>
  <c r="Q19"/>
  <c r="Q20"/>
  <c r="Q21"/>
  <c r="Q22"/>
  <c r="Q23"/>
  <c r="Q4"/>
  <c r="E34" i="2"/>
  <c r="E30"/>
  <c r="E28"/>
  <c r="E14"/>
  <c r="E13"/>
  <c r="E7"/>
  <c r="E5"/>
  <c r="E6"/>
  <c r="E8"/>
  <c r="E9"/>
  <c r="E10"/>
  <c r="E12"/>
  <c r="E15"/>
  <c r="E16"/>
  <c r="E17"/>
  <c r="E18"/>
  <c r="E20"/>
  <c r="E21"/>
  <c r="E22"/>
  <c r="E23"/>
  <c r="E24"/>
  <c r="E25"/>
  <c r="E26"/>
  <c r="E29"/>
  <c r="E31"/>
  <c r="E32"/>
  <c r="E33"/>
  <c r="E4"/>
  <c r="I5" i="1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4"/>
</calcChain>
</file>

<file path=xl/sharedStrings.xml><?xml version="1.0" encoding="utf-8"?>
<sst xmlns="http://schemas.openxmlformats.org/spreadsheetml/2006/main" count="607" uniqueCount="138">
  <si>
    <t>EyeWear</t>
  </si>
  <si>
    <t>NULL</t>
  </si>
  <si>
    <t>0-15</t>
  </si>
  <si>
    <t>16-25</t>
  </si>
  <si>
    <t>26-35</t>
  </si>
  <si>
    <t>36-45</t>
  </si>
  <si>
    <t>46-55</t>
  </si>
  <si>
    <t>56-70</t>
  </si>
  <si>
    <t>HELIOS</t>
  </si>
  <si>
    <t>MIA</t>
  </si>
  <si>
    <t>TANISHQ</t>
  </si>
  <si>
    <t>CHANNEL</t>
  </si>
  <si>
    <t>AGEBAND</t>
  </si>
  <si>
    <t>CUSTOMERS</t>
  </si>
  <si>
    <t>CONDITION: BILL_DATE TAKEN FROM 25.02.2017 TO 26.02.2020</t>
  </si>
  <si>
    <t xml:space="preserve"> CUSTOMERS</t>
  </si>
  <si>
    <t>WOMENS DAY</t>
  </si>
  <si>
    <t>OTHER THAN WOMENS DAY</t>
  </si>
  <si>
    <t>DKNYL</t>
  </si>
  <si>
    <t>MOVAG</t>
  </si>
  <si>
    <t>TAHEG</t>
  </si>
  <si>
    <t>GCOLG</t>
  </si>
  <si>
    <t>GCOLL</t>
  </si>
  <si>
    <t>DSELG</t>
  </si>
  <si>
    <t>VINOG</t>
  </si>
  <si>
    <t>SWARL</t>
  </si>
  <si>
    <t>SGENG</t>
  </si>
  <si>
    <t>EMARL</t>
  </si>
  <si>
    <t>FOSQG</t>
  </si>
  <si>
    <t>GUSSG</t>
  </si>
  <si>
    <t>CTZNG</t>
  </si>
  <si>
    <t>GUSSL</t>
  </si>
  <si>
    <t>SGENL</t>
  </si>
  <si>
    <t>SEKOG</t>
  </si>
  <si>
    <t>EMARG</t>
  </si>
  <si>
    <t>MKORL</t>
  </si>
  <si>
    <t>FOSLL</t>
  </si>
  <si>
    <t>FOSLG</t>
  </si>
  <si>
    <t>CLUSTER</t>
  </si>
  <si>
    <t>NUMC</t>
  </si>
  <si>
    <t>OVERALL FOR 3 YRS</t>
  </si>
  <si>
    <t xml:space="preserve">NUMC </t>
  </si>
  <si>
    <t>Women's Day/ HELIOS</t>
  </si>
  <si>
    <t>Women's Day/ CHANNEL</t>
  </si>
  <si>
    <t>Gold Plain</t>
  </si>
  <si>
    <t>Gold Studded</t>
  </si>
  <si>
    <t>High Value Studded</t>
  </si>
  <si>
    <t>Gold Coins</t>
  </si>
  <si>
    <t>Plain Jewellery with Stones</t>
  </si>
  <si>
    <t>Glass Kundan</t>
  </si>
  <si>
    <t>Studded - Solitaire</t>
  </si>
  <si>
    <t>Studded - Color Stones</t>
  </si>
  <si>
    <t>OPEN POLKI STONES</t>
  </si>
  <si>
    <t>PLATINUM STUDDED</t>
  </si>
  <si>
    <t>KUNDAN POLKI STONES</t>
  </si>
  <si>
    <t>CZ Jewellery</t>
  </si>
  <si>
    <t>Mangalsutra</t>
  </si>
  <si>
    <t>Open Polki with BOM</t>
  </si>
  <si>
    <t>Diamantine</t>
  </si>
  <si>
    <t>Diamonds</t>
  </si>
  <si>
    <t>PLATINUM PLAIN</t>
  </si>
  <si>
    <t>Silver Coins</t>
  </si>
  <si>
    <t>TANISHQ GIFT CARD</t>
  </si>
  <si>
    <t>Mia Studded UCP</t>
  </si>
  <si>
    <t>Mia Plain UCP</t>
  </si>
  <si>
    <t>MIA-Colour Stone-UCP</t>
  </si>
  <si>
    <t>MIA Studded</t>
  </si>
  <si>
    <t>FOR MIA - SILVER</t>
  </si>
  <si>
    <t>MIA PLAIN</t>
  </si>
  <si>
    <t>MIA Colour Stone</t>
  </si>
  <si>
    <t xml:space="preserve"> </t>
  </si>
  <si>
    <t>PLATINUM SOLITAIRE</t>
  </si>
  <si>
    <t xml:space="preserve">CFA </t>
  </si>
  <si>
    <t>OVERALL</t>
  </si>
  <si>
    <t>CFA</t>
  </si>
  <si>
    <t>WOMENS DAY/MIA</t>
  </si>
  <si>
    <t>WOMENS DAY/TANISHQ</t>
  </si>
  <si>
    <t>1_0-20K</t>
  </si>
  <si>
    <t>2_20K-50K</t>
  </si>
  <si>
    <t>3_50K-1L</t>
  </si>
  <si>
    <t>4_1L-2L</t>
  </si>
  <si>
    <t>5_2L-5L</t>
  </si>
  <si>
    <t>6_5L+</t>
  </si>
  <si>
    <t>ABV</t>
  </si>
  <si>
    <t>ATV</t>
  </si>
  <si>
    <t>0-20K</t>
  </si>
  <si>
    <t>20K-50K</t>
  </si>
  <si>
    <t>50K-1L</t>
  </si>
  <si>
    <t>1L-2L</t>
  </si>
  <si>
    <t>2L-5L</t>
  </si>
  <si>
    <t>PGT</t>
  </si>
  <si>
    <t>GOLDPLAIN</t>
  </si>
  <si>
    <t>GOLDSTUDDED</t>
  </si>
  <si>
    <t>PLATINUMPLAIN</t>
  </si>
  <si>
    <t>PLATINUMSTUDDED</t>
  </si>
  <si>
    <t>UCP</t>
  </si>
  <si>
    <t>BASIC</t>
  </si>
  <si>
    <t>TRADITIONAL</t>
  </si>
  <si>
    <t>DS</t>
  </si>
  <si>
    <t>ETH - CON</t>
  </si>
  <si>
    <t>FUSION</t>
  </si>
  <si>
    <t>NEW TREND</t>
  </si>
  <si>
    <t>OTHERS</t>
  </si>
  <si>
    <t>REGIONAL</t>
  </si>
  <si>
    <t>WESTERN</t>
  </si>
  <si>
    <t>BOLON</t>
  </si>
  <si>
    <t>CARRERA</t>
  </si>
  <si>
    <t>DISNEY</t>
  </si>
  <si>
    <t>EMPORIO ARMANI</t>
  </si>
  <si>
    <t>ESSILOR</t>
  </si>
  <si>
    <t>FASHION</t>
  </si>
  <si>
    <t>INTNL</t>
  </si>
  <si>
    <t>MAUI JIM</t>
  </si>
  <si>
    <t>MOUNT BLANC</t>
  </si>
  <si>
    <t>NIKE</t>
  </si>
  <si>
    <t>OAKLEY</t>
  </si>
  <si>
    <t>POLAROID</t>
  </si>
  <si>
    <t>RAYBAN</t>
  </si>
  <si>
    <t>SILHOUETTE</t>
  </si>
  <si>
    <t>STEPPER</t>
  </si>
  <si>
    <t>SWAROVSKI</t>
  </si>
  <si>
    <t>TOM FORD</t>
  </si>
  <si>
    <t>TOMMY HILFIGER</t>
  </si>
  <si>
    <t>VOGUE</t>
  </si>
  <si>
    <t>ZEISS</t>
  </si>
  <si>
    <t>BRAND</t>
  </si>
  <si>
    <t>WOMENSDAY/FASHIONBRAND</t>
  </si>
  <si>
    <t>FASHION BRANDS</t>
  </si>
  <si>
    <t>PRICEBANDS</t>
  </si>
  <si>
    <t>BAND</t>
  </si>
  <si>
    <t>WOMENSDAY/PRICEBAND</t>
  </si>
  <si>
    <t>DASH</t>
  </si>
  <si>
    <t>FASTRACK</t>
  </si>
  <si>
    <t>HOUSE BRAND</t>
  </si>
  <si>
    <t>BRANDS</t>
  </si>
  <si>
    <t>SUNGLASSES BRANDS</t>
  </si>
  <si>
    <t>POLICE</t>
  </si>
  <si>
    <t>WOMENSDAY/SUNGLASSESBRAND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</si>
</sst>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wrapText="1"/>
    </xf>
    <xf numFmtId="10" fontId="0" fillId="0" borderId="2" xfId="0" applyNumberFormat="1" applyBorder="1"/>
    <xf numFmtId="10" fontId="0" fillId="0" borderId="3" xfId="0" applyNumberFormat="1" applyBorder="1"/>
    <xf numFmtId="10" fontId="0" fillId="0" borderId="4" xfId="0" applyNumberFormat="1" applyBorder="1"/>
    <xf numFmtId="0" fontId="0" fillId="3" borderId="0" xfId="0" applyFill="1"/>
    <xf numFmtId="0" fontId="0" fillId="4" borderId="0" xfId="0" applyFill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10" fontId="0" fillId="0" borderId="1" xfId="0" applyNumberFormat="1" applyBorder="1"/>
    <xf numFmtId="0" fontId="1" fillId="2" borderId="0" xfId="0" applyFont="1" applyFill="1"/>
    <xf numFmtId="10" fontId="0" fillId="0" borderId="1" xfId="0" applyNumberFormat="1" applyBorder="1" applyAlignment="1">
      <alignment wrapText="1"/>
    </xf>
    <xf numFmtId="0" fontId="1" fillId="3" borderId="0" xfId="0" applyFont="1" applyFill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X31"/>
  <sheetViews>
    <sheetView topLeftCell="F9" workbookViewId="0">
      <selection activeCell="U4" sqref="U4:U24"/>
    </sheetView>
  </sheetViews>
  <sheetFormatPr defaultRowHeight="15"/>
  <cols>
    <col min="1" max="1" width="12.5703125" customWidth="1"/>
    <col min="2" max="2" width="14.140625" customWidth="1"/>
    <col min="3" max="3" width="15.5703125" customWidth="1"/>
    <col min="6" max="6" width="14.28515625" customWidth="1"/>
    <col min="7" max="8" width="14.140625" customWidth="1"/>
    <col min="15" max="15" width="17.5703125" customWidth="1"/>
    <col min="21" max="21" width="13" customWidth="1"/>
    <col min="22" max="22" width="21.7109375" customWidth="1"/>
    <col min="23" max="23" width="18.7109375" customWidth="1"/>
  </cols>
  <sheetData>
    <row r="2" spans="1:24">
      <c r="F2" t="s">
        <v>14</v>
      </c>
      <c r="O2" t="s">
        <v>40</v>
      </c>
      <c r="P2" t="s">
        <v>16</v>
      </c>
    </row>
    <row r="3" spans="1:24">
      <c r="A3" s="3" t="s">
        <v>11</v>
      </c>
      <c r="B3" s="3" t="s">
        <v>12</v>
      </c>
      <c r="C3" s="3" t="s">
        <v>13</v>
      </c>
      <c r="F3" s="3" t="s">
        <v>11</v>
      </c>
      <c r="G3" s="3" t="s">
        <v>12</v>
      </c>
      <c r="H3" s="3" t="s">
        <v>13</v>
      </c>
      <c r="N3" s="3" t="s">
        <v>38</v>
      </c>
      <c r="O3" s="3" t="s">
        <v>39</v>
      </c>
      <c r="P3" s="3" t="s">
        <v>39</v>
      </c>
    </row>
    <row r="4" spans="1:24">
      <c r="A4" s="4" t="s">
        <v>0</v>
      </c>
      <c r="B4" s="4" t="s">
        <v>1</v>
      </c>
      <c r="C4" s="4">
        <v>13252</v>
      </c>
      <c r="F4" s="4" t="s">
        <v>0</v>
      </c>
      <c r="G4" s="4" t="s">
        <v>1</v>
      </c>
      <c r="H4" s="4">
        <v>347442</v>
      </c>
      <c r="I4">
        <f>H4-C4</f>
        <v>334190</v>
      </c>
      <c r="N4" s="4" t="s">
        <v>30</v>
      </c>
      <c r="O4" s="4">
        <v>6212</v>
      </c>
      <c r="P4" s="1">
        <v>306</v>
      </c>
      <c r="Q4">
        <f>O4-P4</f>
        <v>5906</v>
      </c>
      <c r="U4" t="str">
        <f>CONCATENATE("'",V4,"'",",")</f>
        <v>'Gold Plain',</v>
      </c>
      <c r="V4" s="1" t="s">
        <v>44</v>
      </c>
      <c r="W4" s="1" t="s">
        <v>1</v>
      </c>
      <c r="X4" t="s">
        <v>70</v>
      </c>
    </row>
    <row r="5" spans="1:24">
      <c r="A5" s="4" t="s">
        <v>0</v>
      </c>
      <c r="B5" s="4" t="s">
        <v>2</v>
      </c>
      <c r="C5" s="4">
        <v>975</v>
      </c>
      <c r="F5" s="4" t="s">
        <v>0</v>
      </c>
      <c r="G5" s="4" t="s">
        <v>2</v>
      </c>
      <c r="H5" s="4">
        <v>25010</v>
      </c>
      <c r="I5">
        <f t="shared" ref="I5:I31" si="0">H5-C5</f>
        <v>24035</v>
      </c>
      <c r="N5" s="4" t="s">
        <v>18</v>
      </c>
      <c r="O5" s="4">
        <v>27</v>
      </c>
      <c r="P5" s="1">
        <v>7</v>
      </c>
      <c r="Q5">
        <f t="shared" ref="Q5:Q23" si="1">O5-P5</f>
        <v>20</v>
      </c>
      <c r="U5" t="str">
        <f t="shared" ref="U5:U24" si="2">CONCATENATE("'",V5,"'",",")</f>
        <v>'Gold Studded',</v>
      </c>
      <c r="V5" s="1" t="s">
        <v>45</v>
      </c>
      <c r="W5" s="1" t="s">
        <v>63</v>
      </c>
      <c r="X5" t="str">
        <f t="shared" ref="X5:X15" si="3">CONCATENATE("'",W5,"'",",")</f>
        <v>'Mia Studded UCP',</v>
      </c>
    </row>
    <row r="6" spans="1:24">
      <c r="A6" s="4" t="s">
        <v>0</v>
      </c>
      <c r="B6" s="4" t="s">
        <v>3</v>
      </c>
      <c r="C6" s="4">
        <v>7086</v>
      </c>
      <c r="F6" s="4" t="s">
        <v>0</v>
      </c>
      <c r="G6" s="4" t="s">
        <v>3</v>
      </c>
      <c r="H6" s="4">
        <v>171031</v>
      </c>
      <c r="I6">
        <f t="shared" si="0"/>
        <v>163945</v>
      </c>
      <c r="N6" s="4" t="s">
        <v>23</v>
      </c>
      <c r="O6" s="4">
        <v>2176</v>
      </c>
      <c r="P6" s="1">
        <v>128</v>
      </c>
      <c r="Q6">
        <f t="shared" si="1"/>
        <v>2048</v>
      </c>
      <c r="U6" t="str">
        <f t="shared" si="2"/>
        <v>'High Value Studded',</v>
      </c>
      <c r="V6" s="1" t="s">
        <v>46</v>
      </c>
      <c r="W6" s="1" t="s">
        <v>64</v>
      </c>
      <c r="X6" t="str">
        <f t="shared" si="3"/>
        <v>'Mia Plain UCP',</v>
      </c>
    </row>
    <row r="7" spans="1:24" ht="30">
      <c r="A7" s="4" t="s">
        <v>0</v>
      </c>
      <c r="B7" s="4" t="s">
        <v>4</v>
      </c>
      <c r="C7" s="4">
        <v>15076</v>
      </c>
      <c r="F7" s="4" t="s">
        <v>0</v>
      </c>
      <c r="G7" s="4" t="s">
        <v>4</v>
      </c>
      <c r="H7" s="4">
        <v>309281</v>
      </c>
      <c r="I7">
        <f t="shared" si="0"/>
        <v>294205</v>
      </c>
      <c r="N7" s="4" t="s">
        <v>34</v>
      </c>
      <c r="O7" s="4">
        <v>9445</v>
      </c>
      <c r="P7" s="1">
        <v>458</v>
      </c>
      <c r="Q7">
        <f t="shared" si="1"/>
        <v>8987</v>
      </c>
      <c r="U7" t="str">
        <f t="shared" si="2"/>
        <v>'Gold Coins',</v>
      </c>
      <c r="V7" s="1" t="s">
        <v>47</v>
      </c>
      <c r="W7" s="1" t="s">
        <v>65</v>
      </c>
      <c r="X7" t="str">
        <f t="shared" si="3"/>
        <v>'MIA-Colour Stone-UCP',</v>
      </c>
    </row>
    <row r="8" spans="1:24" ht="30">
      <c r="A8" s="4" t="s">
        <v>0</v>
      </c>
      <c r="B8" s="4" t="s">
        <v>5</v>
      </c>
      <c r="C8" s="4">
        <v>9460</v>
      </c>
      <c r="F8" s="4" t="s">
        <v>0</v>
      </c>
      <c r="G8" s="4" t="s">
        <v>5</v>
      </c>
      <c r="H8" s="4">
        <v>202506</v>
      </c>
      <c r="I8">
        <f t="shared" si="0"/>
        <v>193046</v>
      </c>
      <c r="N8" s="4" t="s">
        <v>27</v>
      </c>
      <c r="O8" s="4">
        <v>4796</v>
      </c>
      <c r="P8" s="1">
        <v>254</v>
      </c>
      <c r="Q8">
        <f t="shared" si="1"/>
        <v>4542</v>
      </c>
      <c r="U8" t="str">
        <f t="shared" si="2"/>
        <v>'Plain Jewellery with Stones',</v>
      </c>
      <c r="V8" s="1" t="s">
        <v>48</v>
      </c>
      <c r="W8" s="1" t="s">
        <v>66</v>
      </c>
      <c r="X8" t="str">
        <f t="shared" si="3"/>
        <v>'MIA Studded',</v>
      </c>
    </row>
    <row r="9" spans="1:24">
      <c r="A9" s="4" t="s">
        <v>0</v>
      </c>
      <c r="B9" s="4" t="s">
        <v>6</v>
      </c>
      <c r="C9" s="4">
        <v>6404</v>
      </c>
      <c r="F9" s="4" t="s">
        <v>0</v>
      </c>
      <c r="G9" s="4" t="s">
        <v>6</v>
      </c>
      <c r="H9" s="4">
        <v>135669</v>
      </c>
      <c r="I9">
        <f t="shared" si="0"/>
        <v>129265</v>
      </c>
      <c r="N9" s="4" t="s">
        <v>37</v>
      </c>
      <c r="O9" s="4">
        <v>31821</v>
      </c>
      <c r="P9" s="1">
        <v>1368</v>
      </c>
      <c r="Q9">
        <f t="shared" si="1"/>
        <v>30453</v>
      </c>
      <c r="U9" t="str">
        <f t="shared" si="2"/>
        <v>'Glass Kundan',</v>
      </c>
      <c r="V9" s="1" t="s">
        <v>49</v>
      </c>
      <c r="W9" s="1" t="s">
        <v>67</v>
      </c>
      <c r="X9" t="str">
        <f t="shared" si="3"/>
        <v>'FOR MIA - SILVER',</v>
      </c>
    </row>
    <row r="10" spans="1:24">
      <c r="A10" s="4" t="s">
        <v>0</v>
      </c>
      <c r="B10" s="4" t="s">
        <v>7</v>
      </c>
      <c r="C10" s="4">
        <v>3983</v>
      </c>
      <c r="F10" s="4" t="s">
        <v>0</v>
      </c>
      <c r="G10" s="4" t="s">
        <v>7</v>
      </c>
      <c r="H10" s="4">
        <v>80171</v>
      </c>
      <c r="I10">
        <f t="shared" si="0"/>
        <v>76188</v>
      </c>
      <c r="N10" s="4" t="s">
        <v>36</v>
      </c>
      <c r="O10" s="4">
        <v>26617</v>
      </c>
      <c r="P10" s="1">
        <v>1167</v>
      </c>
      <c r="Q10">
        <f t="shared" si="1"/>
        <v>25450</v>
      </c>
      <c r="U10" t="str">
        <f t="shared" si="2"/>
        <v>'Studded - Solitaire',</v>
      </c>
      <c r="V10" s="1" t="s">
        <v>50</v>
      </c>
      <c r="W10" s="1" t="s">
        <v>68</v>
      </c>
      <c r="X10" t="str">
        <f t="shared" si="3"/>
        <v>'MIA PLAIN',</v>
      </c>
    </row>
    <row r="11" spans="1:24">
      <c r="A11" s="4" t="s">
        <v>8</v>
      </c>
      <c r="B11" s="4" t="s">
        <v>1</v>
      </c>
      <c r="C11" s="4">
        <v>3000</v>
      </c>
      <c r="F11" s="4" t="s">
        <v>8</v>
      </c>
      <c r="G11" s="4" t="s">
        <v>1</v>
      </c>
      <c r="H11" s="4">
        <v>101552</v>
      </c>
      <c r="I11">
        <f t="shared" si="0"/>
        <v>98552</v>
      </c>
      <c r="N11" s="4" t="s">
        <v>28</v>
      </c>
      <c r="O11" s="4">
        <v>6572</v>
      </c>
      <c r="P11" s="1">
        <v>220</v>
      </c>
      <c r="Q11">
        <f t="shared" si="1"/>
        <v>6352</v>
      </c>
      <c r="U11" t="str">
        <f t="shared" si="2"/>
        <v>'Studded - Color Stones',</v>
      </c>
      <c r="V11" s="1" t="s">
        <v>51</v>
      </c>
      <c r="W11" s="1" t="s">
        <v>69</v>
      </c>
      <c r="X11" t="str">
        <f t="shared" si="3"/>
        <v>'MIA Colour Stone',</v>
      </c>
    </row>
    <row r="12" spans="1:24">
      <c r="A12" s="4" t="s">
        <v>8</v>
      </c>
      <c r="B12" s="4" t="s">
        <v>2</v>
      </c>
      <c r="C12" s="4">
        <v>40</v>
      </c>
      <c r="F12" s="4" t="s">
        <v>8</v>
      </c>
      <c r="G12" s="4" t="s">
        <v>2</v>
      </c>
      <c r="H12" s="4">
        <v>3582</v>
      </c>
      <c r="I12">
        <f t="shared" si="0"/>
        <v>3542</v>
      </c>
      <c r="N12" s="4" t="s">
        <v>21</v>
      </c>
      <c r="O12" s="4">
        <v>1708</v>
      </c>
      <c r="P12" s="1">
        <v>81</v>
      </c>
      <c r="Q12">
        <f t="shared" si="1"/>
        <v>1627</v>
      </c>
      <c r="U12" t="str">
        <f t="shared" si="2"/>
        <v>'OPEN POLKI STONES',</v>
      </c>
      <c r="V12" s="1" t="s">
        <v>52</v>
      </c>
      <c r="W12" s="1" t="s">
        <v>45</v>
      </c>
      <c r="X12" t="str">
        <f t="shared" si="3"/>
        <v>'Gold Studded',</v>
      </c>
    </row>
    <row r="13" spans="1:24">
      <c r="A13" s="4" t="s">
        <v>8</v>
      </c>
      <c r="B13" s="4" t="s">
        <v>3</v>
      </c>
      <c r="C13" s="4">
        <v>515</v>
      </c>
      <c r="F13" s="4" t="s">
        <v>8</v>
      </c>
      <c r="G13" s="4" t="s">
        <v>3</v>
      </c>
      <c r="H13" s="4">
        <v>38426</v>
      </c>
      <c r="I13">
        <f t="shared" si="0"/>
        <v>37911</v>
      </c>
      <c r="N13" s="4" t="s">
        <v>22</v>
      </c>
      <c r="O13" s="4">
        <v>1956</v>
      </c>
      <c r="P13" s="1">
        <v>134</v>
      </c>
      <c r="Q13">
        <f t="shared" si="1"/>
        <v>1822</v>
      </c>
      <c r="U13" t="str">
        <f t="shared" si="2"/>
        <v>'NULL',</v>
      </c>
      <c r="V13" s="1" t="s">
        <v>1</v>
      </c>
      <c r="W13" s="1" t="s">
        <v>46</v>
      </c>
      <c r="X13" t="str">
        <f t="shared" si="3"/>
        <v>'High Value Studded',</v>
      </c>
    </row>
    <row r="14" spans="1:24" ht="30">
      <c r="A14" s="4" t="s">
        <v>8</v>
      </c>
      <c r="B14" s="4" t="s">
        <v>4</v>
      </c>
      <c r="C14" s="4">
        <v>1597</v>
      </c>
      <c r="F14" s="4" t="s">
        <v>8</v>
      </c>
      <c r="G14" s="4" t="s">
        <v>4</v>
      </c>
      <c r="H14" s="4">
        <v>59823</v>
      </c>
      <c r="I14">
        <f t="shared" si="0"/>
        <v>58226</v>
      </c>
      <c r="N14" s="4" t="s">
        <v>29</v>
      </c>
      <c r="O14" s="4">
        <v>5996</v>
      </c>
      <c r="P14" s="1">
        <v>284</v>
      </c>
      <c r="Q14">
        <f t="shared" si="1"/>
        <v>5712</v>
      </c>
      <c r="U14" t="str">
        <f t="shared" si="2"/>
        <v>'PLATINUM STUDDED',</v>
      </c>
      <c r="V14" s="1" t="s">
        <v>53</v>
      </c>
      <c r="W14" s="1" t="s">
        <v>53</v>
      </c>
      <c r="X14" t="str">
        <f t="shared" si="3"/>
        <v>'PLATINUM STUDDED',</v>
      </c>
    </row>
    <row r="15" spans="1:24" ht="30">
      <c r="A15" s="4" t="s">
        <v>8</v>
      </c>
      <c r="B15" s="4" t="s">
        <v>5</v>
      </c>
      <c r="C15" s="4">
        <v>709</v>
      </c>
      <c r="F15" s="4" t="s">
        <v>8</v>
      </c>
      <c r="G15" s="4" t="s">
        <v>5</v>
      </c>
      <c r="H15" s="4">
        <v>29341</v>
      </c>
      <c r="I15">
        <f t="shared" si="0"/>
        <v>28632</v>
      </c>
      <c r="N15" s="4" t="s">
        <v>31</v>
      </c>
      <c r="O15" s="4">
        <v>7730</v>
      </c>
      <c r="P15" s="1">
        <v>371</v>
      </c>
      <c r="Q15">
        <f t="shared" si="1"/>
        <v>7359</v>
      </c>
      <c r="U15" t="str">
        <f t="shared" si="2"/>
        <v>'KUNDAN POLKI STONES',</v>
      </c>
      <c r="V15" s="1" t="s">
        <v>54</v>
      </c>
      <c r="W15" s="1" t="s">
        <v>51</v>
      </c>
      <c r="X15" t="str">
        <f t="shared" si="3"/>
        <v>'Studded - Color Stones',</v>
      </c>
    </row>
    <row r="16" spans="1:24">
      <c r="A16" s="4" t="s">
        <v>8</v>
      </c>
      <c r="B16" s="4" t="s">
        <v>6</v>
      </c>
      <c r="C16" s="4">
        <v>359</v>
      </c>
      <c r="F16" s="4" t="s">
        <v>8</v>
      </c>
      <c r="G16" s="4" t="s">
        <v>6</v>
      </c>
      <c r="H16" s="4">
        <v>15543</v>
      </c>
      <c r="I16">
        <f t="shared" si="0"/>
        <v>15184</v>
      </c>
      <c r="N16" s="4" t="s">
        <v>35</v>
      </c>
      <c r="O16" s="4">
        <v>12625</v>
      </c>
      <c r="P16" s="1">
        <v>605</v>
      </c>
      <c r="Q16">
        <f t="shared" si="1"/>
        <v>12020</v>
      </c>
      <c r="U16" t="str">
        <f t="shared" si="2"/>
        <v>'CZ Jewellery',</v>
      </c>
      <c r="V16" s="1" t="s">
        <v>55</v>
      </c>
    </row>
    <row r="17" spans="1:22">
      <c r="A17" s="4" t="s">
        <v>8</v>
      </c>
      <c r="B17" s="4" t="s">
        <v>7</v>
      </c>
      <c r="C17" s="4">
        <v>201</v>
      </c>
      <c r="F17" s="4" t="s">
        <v>8</v>
      </c>
      <c r="G17" s="4" t="s">
        <v>7</v>
      </c>
      <c r="H17" s="4">
        <v>7303</v>
      </c>
      <c r="I17">
        <f t="shared" si="0"/>
        <v>7102</v>
      </c>
      <c r="N17" s="4" t="s">
        <v>19</v>
      </c>
      <c r="O17" s="4">
        <v>1247</v>
      </c>
      <c r="P17" s="1">
        <v>79</v>
      </c>
      <c r="Q17">
        <f t="shared" si="1"/>
        <v>1168</v>
      </c>
      <c r="U17" t="str">
        <f t="shared" si="2"/>
        <v>'Mangalsutra',</v>
      </c>
      <c r="V17" s="1" t="s">
        <v>56</v>
      </c>
    </row>
    <row r="18" spans="1:22">
      <c r="A18" s="4" t="s">
        <v>9</v>
      </c>
      <c r="B18" s="4" t="s">
        <v>1</v>
      </c>
      <c r="C18" s="4">
        <v>312</v>
      </c>
      <c r="F18" s="4" t="s">
        <v>9</v>
      </c>
      <c r="G18" s="4" t="s">
        <v>1</v>
      </c>
      <c r="H18" s="4">
        <v>12366</v>
      </c>
      <c r="I18">
        <f t="shared" si="0"/>
        <v>12054</v>
      </c>
      <c r="N18" s="4" t="s">
        <v>33</v>
      </c>
      <c r="O18" s="4">
        <v>9010</v>
      </c>
      <c r="P18" s="1">
        <v>465</v>
      </c>
      <c r="Q18">
        <f t="shared" si="1"/>
        <v>8545</v>
      </c>
      <c r="U18" t="str">
        <f t="shared" si="2"/>
        <v>'Open Polki with BOM',</v>
      </c>
      <c r="V18" s="1" t="s">
        <v>57</v>
      </c>
    </row>
    <row r="19" spans="1:22">
      <c r="A19" s="4" t="s">
        <v>9</v>
      </c>
      <c r="B19" s="4" t="s">
        <v>2</v>
      </c>
      <c r="C19" s="4">
        <v>6</v>
      </c>
      <c r="F19" s="4" t="s">
        <v>9</v>
      </c>
      <c r="G19" s="4" t="s">
        <v>2</v>
      </c>
      <c r="H19" s="4">
        <v>324</v>
      </c>
      <c r="I19">
        <f t="shared" si="0"/>
        <v>318</v>
      </c>
      <c r="N19" s="4" t="s">
        <v>26</v>
      </c>
      <c r="O19" s="4">
        <v>4210</v>
      </c>
      <c r="P19" s="1">
        <v>199</v>
      </c>
      <c r="Q19">
        <f t="shared" si="1"/>
        <v>4011</v>
      </c>
      <c r="U19" t="str">
        <f t="shared" si="2"/>
        <v>'Diamantine',</v>
      </c>
      <c r="V19" s="1" t="s">
        <v>58</v>
      </c>
    </row>
    <row r="20" spans="1:22">
      <c r="A20" s="4" t="s">
        <v>9</v>
      </c>
      <c r="B20" s="4" t="s">
        <v>3</v>
      </c>
      <c r="C20" s="4">
        <v>53</v>
      </c>
      <c r="F20" s="4" t="s">
        <v>9</v>
      </c>
      <c r="G20" s="4" t="s">
        <v>3</v>
      </c>
      <c r="H20" s="4">
        <v>2371</v>
      </c>
      <c r="I20">
        <f t="shared" si="0"/>
        <v>2318</v>
      </c>
      <c r="N20" s="4" t="s">
        <v>32</v>
      </c>
      <c r="O20" s="4">
        <v>8002</v>
      </c>
      <c r="P20" s="1">
        <v>365</v>
      </c>
      <c r="Q20">
        <f t="shared" si="1"/>
        <v>7637</v>
      </c>
      <c r="U20" t="str">
        <f t="shared" si="2"/>
        <v>'Diamonds',</v>
      </c>
      <c r="V20" s="1" t="s">
        <v>59</v>
      </c>
    </row>
    <row r="21" spans="1:22">
      <c r="A21" s="4" t="s">
        <v>9</v>
      </c>
      <c r="B21" s="4" t="s">
        <v>4</v>
      </c>
      <c r="C21" s="4">
        <v>268</v>
      </c>
      <c r="F21" s="4" t="s">
        <v>9</v>
      </c>
      <c r="G21" s="4" t="s">
        <v>4</v>
      </c>
      <c r="H21" s="4">
        <v>10839</v>
      </c>
      <c r="I21">
        <f t="shared" si="0"/>
        <v>10571</v>
      </c>
      <c r="N21" s="4" t="s">
        <v>25</v>
      </c>
      <c r="O21" s="4">
        <v>3452</v>
      </c>
      <c r="P21" s="1">
        <v>217</v>
      </c>
      <c r="Q21">
        <f t="shared" si="1"/>
        <v>3235</v>
      </c>
      <c r="U21" t="str">
        <f t="shared" si="2"/>
        <v>'PLATINUM PLAIN',</v>
      </c>
      <c r="V21" s="1" t="s">
        <v>60</v>
      </c>
    </row>
    <row r="22" spans="1:22">
      <c r="A22" s="4" t="s">
        <v>9</v>
      </c>
      <c r="B22" s="4" t="s">
        <v>5</v>
      </c>
      <c r="C22" s="4">
        <v>211</v>
      </c>
      <c r="F22" s="4" t="s">
        <v>9</v>
      </c>
      <c r="G22" s="4" t="s">
        <v>5</v>
      </c>
      <c r="H22" s="4">
        <v>6469</v>
      </c>
      <c r="I22">
        <f t="shared" si="0"/>
        <v>6258</v>
      </c>
      <c r="N22" s="4" t="s">
        <v>20</v>
      </c>
      <c r="O22" s="4">
        <v>1161</v>
      </c>
      <c r="P22" s="1">
        <v>71</v>
      </c>
      <c r="Q22">
        <f t="shared" si="1"/>
        <v>1090</v>
      </c>
      <c r="U22" t="str">
        <f t="shared" si="2"/>
        <v>'Silver Coins',</v>
      </c>
      <c r="V22" s="1" t="s">
        <v>61</v>
      </c>
    </row>
    <row r="23" spans="1:22">
      <c r="A23" s="4" t="s">
        <v>9</v>
      </c>
      <c r="B23" s="4" t="s">
        <v>6</v>
      </c>
      <c r="C23" s="4">
        <v>101</v>
      </c>
      <c r="F23" s="4" t="s">
        <v>9</v>
      </c>
      <c r="G23" s="4" t="s">
        <v>6</v>
      </c>
      <c r="H23" s="4">
        <v>3638</v>
      </c>
      <c r="I23">
        <f t="shared" si="0"/>
        <v>3537</v>
      </c>
      <c r="N23" s="4" t="s">
        <v>24</v>
      </c>
      <c r="O23" s="4">
        <v>2813</v>
      </c>
      <c r="P23" s="1">
        <v>165</v>
      </c>
      <c r="Q23">
        <f t="shared" si="1"/>
        <v>2648</v>
      </c>
      <c r="U23" t="str">
        <f t="shared" si="2"/>
        <v>'TANISHQ GIFT CARD',</v>
      </c>
      <c r="V23" s="1" t="s">
        <v>62</v>
      </c>
    </row>
    <row r="24" spans="1:22">
      <c r="A24" s="4" t="s">
        <v>9</v>
      </c>
      <c r="B24" s="4" t="s">
        <v>7</v>
      </c>
      <c r="C24" s="4">
        <v>52</v>
      </c>
      <c r="F24" s="4" t="s">
        <v>9</v>
      </c>
      <c r="G24" s="4" t="s">
        <v>7</v>
      </c>
      <c r="H24" s="4">
        <v>2255</v>
      </c>
      <c r="I24">
        <f t="shared" si="0"/>
        <v>2203</v>
      </c>
      <c r="U24" t="str">
        <f t="shared" si="2"/>
        <v>'PLATINUM SOLITAIRE',</v>
      </c>
      <c r="V24" s="1" t="s">
        <v>71</v>
      </c>
    </row>
    <row r="25" spans="1:22">
      <c r="A25" s="4" t="s">
        <v>10</v>
      </c>
      <c r="B25" s="4" t="s">
        <v>1</v>
      </c>
      <c r="C25" s="4">
        <v>29529</v>
      </c>
      <c r="F25" s="4" t="s">
        <v>10</v>
      </c>
      <c r="G25" s="4" t="s">
        <v>1</v>
      </c>
      <c r="H25" s="4">
        <v>918908</v>
      </c>
      <c r="I25">
        <f t="shared" si="0"/>
        <v>889379</v>
      </c>
    </row>
    <row r="26" spans="1:22">
      <c r="A26" s="4" t="s">
        <v>10</v>
      </c>
      <c r="B26" s="4" t="s">
        <v>2</v>
      </c>
      <c r="C26" s="4">
        <v>792</v>
      </c>
      <c r="F26" s="4" t="s">
        <v>10</v>
      </c>
      <c r="G26" s="4" t="s">
        <v>2</v>
      </c>
      <c r="H26" s="4">
        <v>22174</v>
      </c>
      <c r="I26">
        <f t="shared" si="0"/>
        <v>21382</v>
      </c>
    </row>
    <row r="27" spans="1:22">
      <c r="A27" s="4" t="s">
        <v>10</v>
      </c>
      <c r="B27" s="4" t="s">
        <v>3</v>
      </c>
      <c r="C27" s="4">
        <v>5508</v>
      </c>
      <c r="F27" s="4" t="s">
        <v>10</v>
      </c>
      <c r="G27" s="4" t="s">
        <v>3</v>
      </c>
      <c r="H27" s="4">
        <v>177278</v>
      </c>
      <c r="I27">
        <f t="shared" si="0"/>
        <v>171770</v>
      </c>
    </row>
    <row r="28" spans="1:22">
      <c r="A28" s="4" t="s">
        <v>10</v>
      </c>
      <c r="B28" s="4" t="s">
        <v>4</v>
      </c>
      <c r="C28" s="4">
        <v>30398</v>
      </c>
      <c r="F28" s="4" t="s">
        <v>10</v>
      </c>
      <c r="G28" s="4" t="s">
        <v>4</v>
      </c>
      <c r="H28" s="4">
        <v>759650</v>
      </c>
      <c r="I28">
        <f t="shared" si="0"/>
        <v>729252</v>
      </c>
    </row>
    <row r="29" spans="1:22">
      <c r="A29" s="4" t="s">
        <v>10</v>
      </c>
      <c r="B29" s="4" t="s">
        <v>5</v>
      </c>
      <c r="C29" s="4">
        <v>24573</v>
      </c>
      <c r="F29" s="4" t="s">
        <v>10</v>
      </c>
      <c r="G29" s="4" t="s">
        <v>5</v>
      </c>
      <c r="H29" s="4">
        <v>604611</v>
      </c>
      <c r="I29">
        <f t="shared" si="0"/>
        <v>580038</v>
      </c>
    </row>
    <row r="30" spans="1:22">
      <c r="A30" s="4" t="s">
        <v>10</v>
      </c>
      <c r="B30" s="4" t="s">
        <v>6</v>
      </c>
      <c r="C30" s="4">
        <v>17570</v>
      </c>
      <c r="F30" s="4" t="s">
        <v>10</v>
      </c>
      <c r="G30" s="4" t="s">
        <v>6</v>
      </c>
      <c r="H30" s="4">
        <v>415800</v>
      </c>
      <c r="I30">
        <f t="shared" si="0"/>
        <v>398230</v>
      </c>
    </row>
    <row r="31" spans="1:22">
      <c r="A31" s="4" t="s">
        <v>10</v>
      </c>
      <c r="B31" s="4" t="s">
        <v>7</v>
      </c>
      <c r="C31" s="4">
        <v>14328</v>
      </c>
      <c r="F31" s="4" t="s">
        <v>10</v>
      </c>
      <c r="G31" s="4" t="s">
        <v>7</v>
      </c>
      <c r="H31" s="4">
        <v>304498</v>
      </c>
      <c r="I31">
        <f t="shared" si="0"/>
        <v>290170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"/>
  <sheetViews>
    <sheetView showGridLines="0" workbookViewId="0">
      <selection activeCell="C11" sqref="C11"/>
    </sheetView>
  </sheetViews>
  <sheetFormatPr defaultRowHeight="15"/>
  <cols>
    <col min="1" max="1" width="13.140625" customWidth="1"/>
    <col min="2" max="2" width="10.7109375" customWidth="1"/>
    <col min="3" max="3" width="20.140625" customWidth="1"/>
    <col min="4" max="4" width="31.28515625" customWidth="1"/>
    <col min="5" max="5" width="22" customWidth="1"/>
  </cols>
  <sheetData>
    <row r="1" spans="1:5">
      <c r="C1" s="2" t="s">
        <v>17</v>
      </c>
      <c r="D1" s="17" t="s">
        <v>16</v>
      </c>
    </row>
    <row r="3" spans="1:5">
      <c r="A3" s="18" t="s">
        <v>11</v>
      </c>
      <c r="B3" s="18" t="s">
        <v>12</v>
      </c>
      <c r="C3" s="18" t="s">
        <v>13</v>
      </c>
      <c r="D3" s="18" t="s">
        <v>15</v>
      </c>
      <c r="E3" s="18" t="s">
        <v>43</v>
      </c>
    </row>
    <row r="4" spans="1:5">
      <c r="A4" s="7" t="s">
        <v>0</v>
      </c>
      <c r="B4" s="8" t="s">
        <v>1</v>
      </c>
      <c r="C4" s="8">
        <v>334190</v>
      </c>
      <c r="D4" s="9">
        <v>13252</v>
      </c>
      <c r="E4" s="14">
        <f>D4/C4</f>
        <v>3.9654088991292379E-2</v>
      </c>
    </row>
    <row r="5" spans="1:5">
      <c r="A5" s="10" t="s">
        <v>0</v>
      </c>
      <c r="B5" s="5" t="s">
        <v>2</v>
      </c>
      <c r="C5" s="5">
        <v>24035</v>
      </c>
      <c r="D5" s="6">
        <v>975</v>
      </c>
      <c r="E5" s="15">
        <f t="shared" ref="E5:E34" si="0">D5/C5</f>
        <v>4.0565841481173287E-2</v>
      </c>
    </row>
    <row r="6" spans="1:5">
      <c r="A6" s="10" t="s">
        <v>0</v>
      </c>
      <c r="B6" s="5" t="s">
        <v>3</v>
      </c>
      <c r="C6" s="5">
        <v>163945</v>
      </c>
      <c r="D6" s="6">
        <v>7086</v>
      </c>
      <c r="E6" s="15">
        <f t="shared" si="0"/>
        <v>4.3221812193113544E-2</v>
      </c>
    </row>
    <row r="7" spans="1:5">
      <c r="A7" s="10" t="s">
        <v>0</v>
      </c>
      <c r="B7" s="5" t="s">
        <v>4</v>
      </c>
      <c r="C7" s="5">
        <v>294205</v>
      </c>
      <c r="D7" s="6">
        <v>15076</v>
      </c>
      <c r="E7" s="15">
        <f t="shared" si="0"/>
        <v>5.1243180775309732E-2</v>
      </c>
    </row>
    <row r="8" spans="1:5">
      <c r="A8" s="10" t="s">
        <v>0</v>
      </c>
      <c r="B8" s="5" t="s">
        <v>5</v>
      </c>
      <c r="C8" s="5">
        <v>193046</v>
      </c>
      <c r="D8" s="6">
        <v>9460</v>
      </c>
      <c r="E8" s="15">
        <f t="shared" si="0"/>
        <v>4.9003864363933981E-2</v>
      </c>
    </row>
    <row r="9" spans="1:5">
      <c r="A9" s="10" t="s">
        <v>0</v>
      </c>
      <c r="B9" s="5" t="s">
        <v>6</v>
      </c>
      <c r="C9" s="5">
        <v>129265</v>
      </c>
      <c r="D9" s="6">
        <v>6404</v>
      </c>
      <c r="E9" s="15">
        <f t="shared" si="0"/>
        <v>4.954163926817004E-2</v>
      </c>
    </row>
    <row r="10" spans="1:5">
      <c r="A10" s="10" t="s">
        <v>0</v>
      </c>
      <c r="B10" s="5" t="s">
        <v>7</v>
      </c>
      <c r="C10" s="5">
        <v>76188</v>
      </c>
      <c r="D10" s="6">
        <v>3983</v>
      </c>
      <c r="E10" s="15">
        <f t="shared" si="0"/>
        <v>5.2278574053656747E-2</v>
      </c>
    </row>
    <row r="11" spans="1:5">
      <c r="A11" s="10"/>
      <c r="B11" s="5"/>
      <c r="C11" s="5"/>
      <c r="D11" s="6"/>
      <c r="E11" s="15"/>
    </row>
    <row r="12" spans="1:5">
      <c r="A12" s="7" t="s">
        <v>8</v>
      </c>
      <c r="B12" s="8" t="s">
        <v>1</v>
      </c>
      <c r="C12" s="8">
        <v>98552</v>
      </c>
      <c r="D12" s="9">
        <v>3000</v>
      </c>
      <c r="E12" s="14">
        <f t="shared" si="0"/>
        <v>3.04407825310496E-2</v>
      </c>
    </row>
    <row r="13" spans="1:5">
      <c r="A13" s="10" t="s">
        <v>8</v>
      </c>
      <c r="B13" s="5" t="s">
        <v>2</v>
      </c>
      <c r="C13" s="5">
        <v>3542</v>
      </c>
      <c r="D13" s="6">
        <v>40</v>
      </c>
      <c r="E13" s="15">
        <f t="shared" si="0"/>
        <v>1.129305477131564E-2</v>
      </c>
    </row>
    <row r="14" spans="1:5">
      <c r="A14" s="10" t="s">
        <v>8</v>
      </c>
      <c r="B14" s="5" t="s">
        <v>3</v>
      </c>
      <c r="C14" s="5">
        <v>37911</v>
      </c>
      <c r="D14" s="6">
        <v>515</v>
      </c>
      <c r="E14" s="15">
        <f t="shared" si="0"/>
        <v>1.3584447785603124E-2</v>
      </c>
    </row>
    <row r="15" spans="1:5">
      <c r="A15" s="10" t="s">
        <v>8</v>
      </c>
      <c r="B15" s="5" t="s">
        <v>4</v>
      </c>
      <c r="C15" s="5">
        <v>58226</v>
      </c>
      <c r="D15" s="6">
        <v>1597</v>
      </c>
      <c r="E15" s="15">
        <f t="shared" si="0"/>
        <v>2.7427609658915261E-2</v>
      </c>
    </row>
    <row r="16" spans="1:5">
      <c r="A16" s="10" t="s">
        <v>8</v>
      </c>
      <c r="B16" s="5" t="s">
        <v>5</v>
      </c>
      <c r="C16" s="5">
        <v>28632</v>
      </c>
      <c r="D16" s="6">
        <v>709</v>
      </c>
      <c r="E16" s="15">
        <f t="shared" si="0"/>
        <v>2.4762503492595699E-2</v>
      </c>
    </row>
    <row r="17" spans="1:5">
      <c r="A17" s="10" t="s">
        <v>8</v>
      </c>
      <c r="B17" s="5" t="s">
        <v>6</v>
      </c>
      <c r="C17" s="5">
        <v>15184</v>
      </c>
      <c r="D17" s="6">
        <v>359</v>
      </c>
      <c r="E17" s="15">
        <f t="shared" si="0"/>
        <v>2.3643308746048471E-2</v>
      </c>
    </row>
    <row r="18" spans="1:5">
      <c r="A18" s="10" t="s">
        <v>8</v>
      </c>
      <c r="B18" s="5" t="s">
        <v>7</v>
      </c>
      <c r="C18" s="5">
        <v>7102</v>
      </c>
      <c r="D18" s="6">
        <v>201</v>
      </c>
      <c r="E18" s="15">
        <f t="shared" si="0"/>
        <v>2.8301886792452831E-2</v>
      </c>
    </row>
    <row r="19" spans="1:5">
      <c r="A19" s="10"/>
      <c r="B19" s="5"/>
      <c r="C19" s="5"/>
      <c r="D19" s="6"/>
      <c r="E19" s="15"/>
    </row>
    <row r="20" spans="1:5">
      <c r="A20" s="7" t="s">
        <v>9</v>
      </c>
      <c r="B20" s="8" t="s">
        <v>1</v>
      </c>
      <c r="C20" s="8">
        <v>12054</v>
      </c>
      <c r="D20" s="9">
        <v>312</v>
      </c>
      <c r="E20" s="14">
        <f t="shared" si="0"/>
        <v>2.5883524141363863E-2</v>
      </c>
    </row>
    <row r="21" spans="1:5">
      <c r="A21" s="10" t="s">
        <v>9</v>
      </c>
      <c r="B21" s="5" t="s">
        <v>2</v>
      </c>
      <c r="C21" s="5">
        <v>318</v>
      </c>
      <c r="D21" s="6">
        <v>6</v>
      </c>
      <c r="E21" s="15">
        <f t="shared" si="0"/>
        <v>1.8867924528301886E-2</v>
      </c>
    </row>
    <row r="22" spans="1:5">
      <c r="A22" s="10" t="s">
        <v>9</v>
      </c>
      <c r="B22" s="5" t="s">
        <v>3</v>
      </c>
      <c r="C22" s="5">
        <v>2318</v>
      </c>
      <c r="D22" s="6">
        <v>53</v>
      </c>
      <c r="E22" s="15">
        <f t="shared" si="0"/>
        <v>2.2864538395168249E-2</v>
      </c>
    </row>
    <row r="23" spans="1:5">
      <c r="A23" s="10" t="s">
        <v>9</v>
      </c>
      <c r="B23" s="5" t="s">
        <v>4</v>
      </c>
      <c r="C23" s="5">
        <v>10571</v>
      </c>
      <c r="D23" s="6">
        <v>268</v>
      </c>
      <c r="E23" s="15">
        <f t="shared" si="0"/>
        <v>2.5352379150506102E-2</v>
      </c>
    </row>
    <row r="24" spans="1:5">
      <c r="A24" s="10" t="s">
        <v>9</v>
      </c>
      <c r="B24" s="5" t="s">
        <v>5</v>
      </c>
      <c r="C24" s="5">
        <v>6258</v>
      </c>
      <c r="D24" s="6">
        <v>211</v>
      </c>
      <c r="E24" s="15">
        <f t="shared" si="0"/>
        <v>3.3716842441674659E-2</v>
      </c>
    </row>
    <row r="25" spans="1:5">
      <c r="A25" s="10" t="s">
        <v>9</v>
      </c>
      <c r="B25" s="5" t="s">
        <v>6</v>
      </c>
      <c r="C25" s="5">
        <v>3537</v>
      </c>
      <c r="D25" s="6">
        <v>101</v>
      </c>
      <c r="E25" s="15">
        <f t="shared" si="0"/>
        <v>2.8555272830081989E-2</v>
      </c>
    </row>
    <row r="26" spans="1:5">
      <c r="A26" s="10" t="s">
        <v>9</v>
      </c>
      <c r="B26" s="5" t="s">
        <v>7</v>
      </c>
      <c r="C26" s="5">
        <v>2203</v>
      </c>
      <c r="D26" s="6">
        <v>52</v>
      </c>
      <c r="E26" s="15">
        <f t="shared" si="0"/>
        <v>2.3604176123467997E-2</v>
      </c>
    </row>
    <row r="27" spans="1:5">
      <c r="A27" s="10"/>
      <c r="B27" s="5"/>
      <c r="C27" s="5"/>
      <c r="D27" s="6"/>
      <c r="E27" s="15"/>
    </row>
    <row r="28" spans="1:5">
      <c r="A28" s="7" t="s">
        <v>10</v>
      </c>
      <c r="B28" s="8" t="s">
        <v>1</v>
      </c>
      <c r="C28" s="8">
        <v>889379</v>
      </c>
      <c r="D28" s="9">
        <v>29529</v>
      </c>
      <c r="E28" s="14">
        <f t="shared" si="0"/>
        <v>3.32018183474087E-2</v>
      </c>
    </row>
    <row r="29" spans="1:5">
      <c r="A29" s="10" t="s">
        <v>10</v>
      </c>
      <c r="B29" s="5" t="s">
        <v>2</v>
      </c>
      <c r="C29" s="5">
        <v>21382</v>
      </c>
      <c r="D29" s="6">
        <v>792</v>
      </c>
      <c r="E29" s="15">
        <f t="shared" si="0"/>
        <v>3.7040501356280987E-2</v>
      </c>
    </row>
    <row r="30" spans="1:5">
      <c r="A30" s="10" t="s">
        <v>10</v>
      </c>
      <c r="B30" s="5" t="s">
        <v>3</v>
      </c>
      <c r="C30" s="5">
        <v>171770</v>
      </c>
      <c r="D30" s="6">
        <v>5508</v>
      </c>
      <c r="E30" s="15">
        <f t="shared" si="0"/>
        <v>3.2066134947895439E-2</v>
      </c>
    </row>
    <row r="31" spans="1:5">
      <c r="A31" s="10" t="s">
        <v>10</v>
      </c>
      <c r="B31" s="5" t="s">
        <v>4</v>
      </c>
      <c r="C31" s="5">
        <v>729252</v>
      </c>
      <c r="D31" s="6">
        <v>30398</v>
      </c>
      <c r="E31" s="15">
        <f t="shared" si="0"/>
        <v>4.1683807517840198E-2</v>
      </c>
    </row>
    <row r="32" spans="1:5">
      <c r="A32" s="10" t="s">
        <v>10</v>
      </c>
      <c r="B32" s="5" t="s">
        <v>5</v>
      </c>
      <c r="C32" s="5">
        <v>580038</v>
      </c>
      <c r="D32" s="6">
        <v>24573</v>
      </c>
      <c r="E32" s="15">
        <f t="shared" si="0"/>
        <v>4.2364465776380165E-2</v>
      </c>
    </row>
    <row r="33" spans="1:5">
      <c r="A33" s="10" t="s">
        <v>10</v>
      </c>
      <c r="B33" s="5" t="s">
        <v>6</v>
      </c>
      <c r="C33" s="5">
        <v>398230</v>
      </c>
      <c r="D33" s="6">
        <v>17570</v>
      </c>
      <c r="E33" s="15">
        <f t="shared" si="0"/>
        <v>4.4120232026718227E-2</v>
      </c>
    </row>
    <row r="34" spans="1:5">
      <c r="A34" s="11" t="s">
        <v>10</v>
      </c>
      <c r="B34" s="12" t="s">
        <v>7</v>
      </c>
      <c r="C34" s="12">
        <v>290170</v>
      </c>
      <c r="D34" s="13">
        <v>14328</v>
      </c>
      <c r="E34" s="16">
        <f t="shared" si="0"/>
        <v>4.9377950856394529E-2</v>
      </c>
    </row>
  </sheetData>
  <conditionalFormatting sqref="E4:E10">
    <cfRule type="colorScale" priority="5">
      <colorScale>
        <cfvo type="min" val="0"/>
        <cfvo type="max" val="0"/>
        <color rgb="FFFF7128"/>
        <color rgb="FFFFEF9C"/>
      </colorScale>
    </cfRule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12:E1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0:E2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8:E3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E23"/>
  <sheetViews>
    <sheetView showGridLines="0" workbookViewId="0">
      <selection activeCell="F22" sqref="F22"/>
    </sheetView>
  </sheetViews>
  <sheetFormatPr defaultRowHeight="15"/>
  <cols>
    <col min="3" max="3" width="29.28515625" customWidth="1"/>
    <col min="4" max="4" width="15.140625" customWidth="1"/>
    <col min="5" max="5" width="22.28515625" customWidth="1"/>
  </cols>
  <sheetData>
    <row r="1" spans="2:5">
      <c r="C1" s="24" t="s">
        <v>17</v>
      </c>
      <c r="D1" s="25" t="s">
        <v>16</v>
      </c>
    </row>
    <row r="3" spans="2:5">
      <c r="B3" s="21" t="s">
        <v>38</v>
      </c>
      <c r="C3" s="22" t="s">
        <v>41</v>
      </c>
      <c r="D3" s="22" t="s">
        <v>39</v>
      </c>
      <c r="E3" s="23" t="s">
        <v>42</v>
      </c>
    </row>
    <row r="4" spans="2:5">
      <c r="B4" s="19" t="s">
        <v>18</v>
      </c>
      <c r="C4" s="5">
        <v>20</v>
      </c>
      <c r="D4" s="6">
        <v>7</v>
      </c>
      <c r="E4" s="15">
        <f t="shared" ref="E4:E23" si="0">D4/C4</f>
        <v>0.35</v>
      </c>
    </row>
    <row r="5" spans="2:5">
      <c r="B5" s="19" t="s">
        <v>22</v>
      </c>
      <c r="C5" s="5">
        <v>1822</v>
      </c>
      <c r="D5" s="6">
        <v>134</v>
      </c>
      <c r="E5" s="15">
        <f t="shared" si="0"/>
        <v>7.3545554335894617E-2</v>
      </c>
    </row>
    <row r="6" spans="2:5">
      <c r="B6" s="19" t="s">
        <v>19</v>
      </c>
      <c r="C6" s="5">
        <v>1168</v>
      </c>
      <c r="D6" s="6">
        <v>79</v>
      </c>
      <c r="E6" s="15">
        <f t="shared" si="0"/>
        <v>6.763698630136987E-2</v>
      </c>
    </row>
    <row r="7" spans="2:5">
      <c r="B7" s="19" t="s">
        <v>25</v>
      </c>
      <c r="C7" s="5">
        <v>3235</v>
      </c>
      <c r="D7" s="6">
        <v>217</v>
      </c>
      <c r="E7" s="15">
        <f t="shared" si="0"/>
        <v>6.7078825347758886E-2</v>
      </c>
    </row>
    <row r="8" spans="2:5">
      <c r="B8" s="19" t="s">
        <v>20</v>
      </c>
      <c r="C8" s="5">
        <v>1090</v>
      </c>
      <c r="D8" s="6">
        <v>71</v>
      </c>
      <c r="E8" s="15">
        <f t="shared" si="0"/>
        <v>6.5137614678899086E-2</v>
      </c>
    </row>
    <row r="9" spans="2:5">
      <c r="B9" s="19" t="s">
        <v>23</v>
      </c>
      <c r="C9" s="5">
        <v>2048</v>
      </c>
      <c r="D9" s="6">
        <v>128</v>
      </c>
      <c r="E9" s="15">
        <f t="shared" si="0"/>
        <v>6.25E-2</v>
      </c>
    </row>
    <row r="10" spans="2:5">
      <c r="B10" s="19" t="s">
        <v>24</v>
      </c>
      <c r="C10" s="5">
        <v>2648</v>
      </c>
      <c r="D10" s="6">
        <v>165</v>
      </c>
      <c r="E10" s="15">
        <f t="shared" si="0"/>
        <v>6.2311178247734141E-2</v>
      </c>
    </row>
    <row r="11" spans="2:5">
      <c r="B11" s="19" t="s">
        <v>27</v>
      </c>
      <c r="C11" s="5">
        <v>4542</v>
      </c>
      <c r="D11" s="6">
        <v>254</v>
      </c>
      <c r="E11" s="15">
        <f t="shared" si="0"/>
        <v>5.5922501100836637E-2</v>
      </c>
    </row>
    <row r="12" spans="2:5">
      <c r="B12" s="19" t="s">
        <v>33</v>
      </c>
      <c r="C12" s="5">
        <v>8545</v>
      </c>
      <c r="D12" s="6">
        <v>465</v>
      </c>
      <c r="E12" s="15">
        <f t="shared" si="0"/>
        <v>5.4417788180222353E-2</v>
      </c>
    </row>
    <row r="13" spans="2:5">
      <c r="B13" s="19" t="s">
        <v>30</v>
      </c>
      <c r="C13" s="5">
        <v>5906</v>
      </c>
      <c r="D13" s="6">
        <v>306</v>
      </c>
      <c r="E13" s="15">
        <f t="shared" si="0"/>
        <v>5.1811716898069758E-2</v>
      </c>
    </row>
    <row r="14" spans="2:5">
      <c r="B14" s="19" t="s">
        <v>34</v>
      </c>
      <c r="C14" s="5">
        <v>8987</v>
      </c>
      <c r="D14" s="6">
        <v>458</v>
      </c>
      <c r="E14" s="15">
        <f t="shared" si="0"/>
        <v>5.0962501390897967E-2</v>
      </c>
    </row>
    <row r="15" spans="2:5">
      <c r="B15" s="19" t="s">
        <v>31</v>
      </c>
      <c r="C15" s="5">
        <v>7359</v>
      </c>
      <c r="D15" s="6">
        <v>371</v>
      </c>
      <c r="E15" s="15">
        <f t="shared" si="0"/>
        <v>5.0414458486207368E-2</v>
      </c>
    </row>
    <row r="16" spans="2:5">
      <c r="B16" s="19" t="s">
        <v>35</v>
      </c>
      <c r="C16" s="5">
        <v>12020</v>
      </c>
      <c r="D16" s="6">
        <v>605</v>
      </c>
      <c r="E16" s="15">
        <f t="shared" si="0"/>
        <v>5.0332778702163058E-2</v>
      </c>
    </row>
    <row r="17" spans="2:5">
      <c r="B17" s="19" t="s">
        <v>21</v>
      </c>
      <c r="C17" s="5">
        <v>1627</v>
      </c>
      <c r="D17" s="6">
        <v>81</v>
      </c>
      <c r="E17" s="15">
        <f t="shared" si="0"/>
        <v>4.9784880147510757E-2</v>
      </c>
    </row>
    <row r="18" spans="2:5">
      <c r="B18" s="19" t="s">
        <v>29</v>
      </c>
      <c r="C18" s="5">
        <v>5712</v>
      </c>
      <c r="D18" s="6">
        <v>284</v>
      </c>
      <c r="E18" s="15">
        <f t="shared" si="0"/>
        <v>4.971988795518207E-2</v>
      </c>
    </row>
    <row r="19" spans="2:5">
      <c r="B19" s="19" t="s">
        <v>26</v>
      </c>
      <c r="C19" s="5">
        <v>4011</v>
      </c>
      <c r="D19" s="6">
        <v>199</v>
      </c>
      <c r="E19" s="15">
        <f t="shared" si="0"/>
        <v>4.9613562702567941E-2</v>
      </c>
    </row>
    <row r="20" spans="2:5">
      <c r="B20" s="19" t="s">
        <v>32</v>
      </c>
      <c r="C20" s="5">
        <v>7637</v>
      </c>
      <c r="D20" s="6">
        <v>365</v>
      </c>
      <c r="E20" s="15">
        <f t="shared" si="0"/>
        <v>4.7793636244598661E-2</v>
      </c>
    </row>
    <row r="21" spans="2:5">
      <c r="B21" s="19" t="s">
        <v>36</v>
      </c>
      <c r="C21" s="5">
        <v>25450</v>
      </c>
      <c r="D21" s="6">
        <v>1167</v>
      </c>
      <c r="E21" s="15">
        <f t="shared" si="0"/>
        <v>4.5854616895874264E-2</v>
      </c>
    </row>
    <row r="22" spans="2:5">
      <c r="B22" s="19" t="s">
        <v>37</v>
      </c>
      <c r="C22" s="5">
        <v>30453</v>
      </c>
      <c r="D22" s="6">
        <v>1368</v>
      </c>
      <c r="E22" s="15">
        <f t="shared" si="0"/>
        <v>4.4921682592847997E-2</v>
      </c>
    </row>
    <row r="23" spans="2:5">
      <c r="B23" s="20" t="s">
        <v>28</v>
      </c>
      <c r="C23" s="12">
        <v>6352</v>
      </c>
      <c r="D23" s="13">
        <v>220</v>
      </c>
      <c r="E23" s="16">
        <f t="shared" si="0"/>
        <v>3.4634760705289674E-2</v>
      </c>
    </row>
  </sheetData>
  <sortState ref="B4:E23">
    <sortCondition descending="1" ref="E4:E23"/>
  </sortState>
  <conditionalFormatting sqref="E4:E2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33"/>
  <sheetViews>
    <sheetView workbookViewId="0">
      <selection activeCell="X23" sqref="X23:X26"/>
    </sheetView>
  </sheetViews>
  <sheetFormatPr defaultRowHeight="15"/>
  <cols>
    <col min="2" max="2" width="12" customWidth="1"/>
    <col min="3" max="3" width="13" customWidth="1"/>
    <col min="9" max="9" width="13.7109375" customWidth="1"/>
    <col min="14" max="14" width="12.28515625" customWidth="1"/>
    <col min="15" max="15" width="11.28515625" customWidth="1"/>
  </cols>
  <sheetData>
    <row r="1" spans="1:24">
      <c r="A1" s="26" t="s">
        <v>9</v>
      </c>
      <c r="C1" s="26" t="s">
        <v>73</v>
      </c>
      <c r="D1" s="26" t="s">
        <v>16</v>
      </c>
      <c r="H1" s="26" t="s">
        <v>10</v>
      </c>
      <c r="I1" s="26"/>
      <c r="J1" s="26" t="s">
        <v>73</v>
      </c>
      <c r="K1" s="26" t="s">
        <v>16</v>
      </c>
      <c r="N1" s="26" t="s">
        <v>10</v>
      </c>
      <c r="P1" s="26" t="s">
        <v>73</v>
      </c>
      <c r="Q1" s="26" t="s">
        <v>16</v>
      </c>
      <c r="T1" s="26" t="s">
        <v>9</v>
      </c>
      <c r="V1" s="26" t="s">
        <v>73</v>
      </c>
      <c r="W1" s="26" t="s">
        <v>16</v>
      </c>
    </row>
    <row r="2" spans="1:24">
      <c r="B2" s="27" t="s">
        <v>72</v>
      </c>
      <c r="C2" s="27" t="s">
        <v>39</v>
      </c>
      <c r="D2" s="27" t="s">
        <v>39</v>
      </c>
      <c r="H2" s="26"/>
      <c r="I2" s="27" t="s">
        <v>74</v>
      </c>
      <c r="J2" s="27" t="s">
        <v>39</v>
      </c>
      <c r="K2" s="27" t="s">
        <v>39</v>
      </c>
      <c r="O2" s="27" t="s">
        <v>83</v>
      </c>
      <c r="P2" s="27" t="s">
        <v>39</v>
      </c>
      <c r="Q2" s="27" t="s">
        <v>39</v>
      </c>
      <c r="U2" s="2" t="s">
        <v>83</v>
      </c>
      <c r="V2" s="2" t="s">
        <v>39</v>
      </c>
      <c r="W2" s="2" t="s">
        <v>39</v>
      </c>
    </row>
    <row r="3" spans="1:24" ht="30">
      <c r="B3" s="4" t="s">
        <v>67</v>
      </c>
      <c r="C3" s="4">
        <v>3401</v>
      </c>
      <c r="D3" s="4">
        <v>223</v>
      </c>
      <c r="E3">
        <f>C3-D3</f>
        <v>3178</v>
      </c>
      <c r="G3" s="1"/>
      <c r="I3" s="4" t="s">
        <v>58</v>
      </c>
      <c r="J3" s="4">
        <v>1529</v>
      </c>
      <c r="K3" s="4">
        <v>51</v>
      </c>
      <c r="L3">
        <f>J3-K3</f>
        <v>1478</v>
      </c>
      <c r="N3" s="1"/>
      <c r="O3" s="4" t="s">
        <v>1</v>
      </c>
      <c r="P3" s="1">
        <v>815</v>
      </c>
      <c r="Q3" s="1">
        <v>132</v>
      </c>
      <c r="R3">
        <f>P3-Q3</f>
        <v>683</v>
      </c>
      <c r="S3" s="1"/>
      <c r="U3" s="1" t="s">
        <v>1</v>
      </c>
      <c r="V3" s="1">
        <v>764</v>
      </c>
      <c r="W3" s="1">
        <v>71</v>
      </c>
      <c r="X3" s="1">
        <f>V3-W3</f>
        <v>693</v>
      </c>
    </row>
    <row r="4" spans="1:24" ht="30">
      <c r="B4" s="4" t="s">
        <v>45</v>
      </c>
      <c r="C4" s="4">
        <v>8</v>
      </c>
      <c r="D4" s="4">
        <v>2</v>
      </c>
      <c r="E4">
        <f t="shared" ref="E4:E11" si="0">C4-D4</f>
        <v>6</v>
      </c>
      <c r="G4" s="1"/>
      <c r="I4" s="4" t="s">
        <v>59</v>
      </c>
      <c r="J4" s="4">
        <v>177</v>
      </c>
      <c r="K4" s="4">
        <v>24</v>
      </c>
      <c r="L4">
        <f t="shared" ref="L4:L21" si="1">J4-K4</f>
        <v>153</v>
      </c>
      <c r="N4" s="1"/>
      <c r="O4" s="4" t="s">
        <v>77</v>
      </c>
      <c r="P4" s="1">
        <v>1119791</v>
      </c>
      <c r="Q4" s="1">
        <v>39176</v>
      </c>
      <c r="R4">
        <f t="shared" ref="R4:R9" si="2">P4-Q4</f>
        <v>1080615</v>
      </c>
      <c r="S4" s="1"/>
      <c r="U4" s="1" t="s">
        <v>77</v>
      </c>
      <c r="V4" s="1">
        <v>151949</v>
      </c>
      <c r="W4" s="1">
        <v>9867</v>
      </c>
      <c r="X4" s="1">
        <f t="shared" ref="X4:X7" si="3">V4-W4</f>
        <v>142082</v>
      </c>
    </row>
    <row r="5" spans="1:24" ht="30">
      <c r="B5" s="4" t="s">
        <v>46</v>
      </c>
      <c r="C5" s="4">
        <v>2</v>
      </c>
      <c r="D5" s="4">
        <v>1</v>
      </c>
      <c r="E5">
        <f t="shared" si="0"/>
        <v>1</v>
      </c>
      <c r="G5" s="1"/>
      <c r="I5" s="4" t="s">
        <v>49</v>
      </c>
      <c r="J5" s="4">
        <v>86456</v>
      </c>
      <c r="K5" s="4">
        <v>6036</v>
      </c>
      <c r="L5">
        <f t="shared" si="1"/>
        <v>80420</v>
      </c>
      <c r="N5" s="1"/>
      <c r="O5" s="4" t="s">
        <v>78</v>
      </c>
      <c r="P5" s="1">
        <v>1078973</v>
      </c>
      <c r="Q5" s="1">
        <v>47901</v>
      </c>
      <c r="R5">
        <f t="shared" si="2"/>
        <v>1031072</v>
      </c>
      <c r="S5" s="1"/>
      <c r="U5" s="1" t="s">
        <v>78</v>
      </c>
      <c r="V5" s="1">
        <v>28553</v>
      </c>
      <c r="W5" s="1">
        <v>1804</v>
      </c>
      <c r="X5" s="1">
        <f t="shared" si="3"/>
        <v>26749</v>
      </c>
    </row>
    <row r="6" spans="1:24" ht="30">
      <c r="B6" s="4" t="s">
        <v>69</v>
      </c>
      <c r="C6" s="4">
        <v>471</v>
      </c>
      <c r="D6" s="4">
        <v>30</v>
      </c>
      <c r="E6">
        <f t="shared" si="0"/>
        <v>441</v>
      </c>
      <c r="G6" s="1"/>
      <c r="I6" s="4" t="s">
        <v>47</v>
      </c>
      <c r="J6" s="4">
        <v>359105</v>
      </c>
      <c r="K6" s="4">
        <v>16987</v>
      </c>
      <c r="L6">
        <f t="shared" si="1"/>
        <v>342118</v>
      </c>
      <c r="N6" s="1"/>
      <c r="O6" s="4" t="s">
        <v>79</v>
      </c>
      <c r="P6" s="1">
        <v>595993</v>
      </c>
      <c r="Q6" s="1">
        <v>27849</v>
      </c>
      <c r="R6">
        <f t="shared" si="2"/>
        <v>568144</v>
      </c>
      <c r="S6" s="1"/>
      <c r="U6" s="1" t="s">
        <v>79</v>
      </c>
      <c r="V6" s="1">
        <v>380</v>
      </c>
      <c r="W6" s="1">
        <v>24</v>
      </c>
      <c r="X6" s="1">
        <f t="shared" si="3"/>
        <v>356</v>
      </c>
    </row>
    <row r="7" spans="1:24">
      <c r="B7" s="4" t="s">
        <v>68</v>
      </c>
      <c r="C7" s="4">
        <v>1144</v>
      </c>
      <c r="D7" s="4">
        <v>82</v>
      </c>
      <c r="E7">
        <f t="shared" si="0"/>
        <v>1062</v>
      </c>
      <c r="G7" s="1"/>
      <c r="I7" s="4" t="s">
        <v>44</v>
      </c>
      <c r="J7" s="4">
        <v>2330725</v>
      </c>
      <c r="K7" s="4">
        <v>104044</v>
      </c>
      <c r="L7">
        <f t="shared" si="1"/>
        <v>2226681</v>
      </c>
      <c r="N7" s="1"/>
      <c r="O7" s="4" t="s">
        <v>80</v>
      </c>
      <c r="P7" s="1">
        <v>298477</v>
      </c>
      <c r="Q7" s="1">
        <v>11571</v>
      </c>
      <c r="R7">
        <f t="shared" si="2"/>
        <v>286906</v>
      </c>
      <c r="S7" s="1"/>
      <c r="U7" s="1" t="s">
        <v>80</v>
      </c>
      <c r="V7" s="1">
        <v>1</v>
      </c>
      <c r="W7" s="1">
        <v>0</v>
      </c>
      <c r="X7" s="1">
        <f t="shared" si="3"/>
        <v>1</v>
      </c>
    </row>
    <row r="8" spans="1:24" ht="30">
      <c r="B8" s="4" t="s">
        <v>66</v>
      </c>
      <c r="C8" s="4">
        <v>1495</v>
      </c>
      <c r="D8" s="4">
        <v>85</v>
      </c>
      <c r="E8">
        <f t="shared" si="0"/>
        <v>1410</v>
      </c>
      <c r="G8" s="1"/>
      <c r="I8" s="4" t="s">
        <v>45</v>
      </c>
      <c r="J8" s="4">
        <v>1033424</v>
      </c>
      <c r="K8" s="4">
        <v>54623</v>
      </c>
      <c r="L8">
        <f t="shared" si="1"/>
        <v>978801</v>
      </c>
      <c r="N8" s="1"/>
      <c r="O8" s="4" t="s">
        <v>81</v>
      </c>
      <c r="P8" s="1">
        <v>81498</v>
      </c>
      <c r="Q8" s="1">
        <v>2800</v>
      </c>
      <c r="R8">
        <f t="shared" si="2"/>
        <v>78698</v>
      </c>
      <c r="S8" s="1"/>
      <c r="U8" s="1"/>
      <c r="W8" s="1"/>
    </row>
    <row r="9" spans="1:24" ht="30">
      <c r="B9" s="4" t="s">
        <v>65</v>
      </c>
      <c r="C9" s="4">
        <v>30243</v>
      </c>
      <c r="D9" s="4">
        <v>2264</v>
      </c>
      <c r="E9">
        <f t="shared" si="0"/>
        <v>27979</v>
      </c>
      <c r="G9" s="1"/>
      <c r="I9" s="4" t="s">
        <v>46</v>
      </c>
      <c r="J9" s="4">
        <v>99293</v>
      </c>
      <c r="K9" s="4">
        <v>7496</v>
      </c>
      <c r="L9">
        <f t="shared" si="1"/>
        <v>91797</v>
      </c>
      <c r="N9" s="1"/>
      <c r="O9" s="4" t="s">
        <v>82</v>
      </c>
      <c r="P9" s="1">
        <v>8438</v>
      </c>
      <c r="Q9" s="1">
        <v>275</v>
      </c>
      <c r="R9">
        <f t="shared" si="2"/>
        <v>8163</v>
      </c>
      <c r="S9" s="1"/>
      <c r="U9" s="1"/>
      <c r="W9" s="1"/>
    </row>
    <row r="10" spans="1:24" ht="30">
      <c r="B10" s="4" t="s">
        <v>64</v>
      </c>
      <c r="C10" s="4">
        <v>76808</v>
      </c>
      <c r="D10" s="4">
        <v>5332</v>
      </c>
      <c r="E10">
        <f t="shared" si="0"/>
        <v>71476</v>
      </c>
      <c r="G10" s="1"/>
      <c r="I10" s="4" t="s">
        <v>54</v>
      </c>
      <c r="J10" s="4">
        <v>3136</v>
      </c>
      <c r="K10" s="4">
        <v>296</v>
      </c>
      <c r="L10">
        <f t="shared" si="1"/>
        <v>2840</v>
      </c>
      <c r="N10" s="1"/>
    </row>
    <row r="11" spans="1:24" ht="45">
      <c r="B11" s="4" t="s">
        <v>63</v>
      </c>
      <c r="C11" s="4">
        <v>104580</v>
      </c>
      <c r="D11" s="4">
        <v>7183</v>
      </c>
      <c r="E11">
        <f t="shared" si="0"/>
        <v>97397</v>
      </c>
      <c r="G11" s="1"/>
      <c r="I11" s="4" t="s">
        <v>56</v>
      </c>
      <c r="J11" s="4">
        <v>37879</v>
      </c>
      <c r="K11" s="4">
        <v>2279</v>
      </c>
      <c r="L11">
        <f t="shared" si="1"/>
        <v>35600</v>
      </c>
      <c r="N11" s="1"/>
      <c r="O11" s="1"/>
    </row>
    <row r="12" spans="1:24" ht="30">
      <c r="G12" s="1"/>
      <c r="H12" s="1"/>
      <c r="I12" s="4" t="s">
        <v>52</v>
      </c>
      <c r="J12" s="4">
        <v>49947</v>
      </c>
      <c r="K12" s="4">
        <v>4074</v>
      </c>
      <c r="L12">
        <f t="shared" si="1"/>
        <v>45873</v>
      </c>
      <c r="N12" s="26" t="s">
        <v>10</v>
      </c>
      <c r="P12" s="26" t="s">
        <v>73</v>
      </c>
      <c r="Q12" s="26" t="s">
        <v>16</v>
      </c>
      <c r="T12" s="26" t="s">
        <v>9</v>
      </c>
      <c r="U12" s="26"/>
      <c r="V12" s="26" t="s">
        <v>73</v>
      </c>
      <c r="W12" s="26" t="s">
        <v>16</v>
      </c>
    </row>
    <row r="13" spans="1:24" ht="30">
      <c r="G13" s="1"/>
      <c r="H13" s="1"/>
      <c r="I13" s="4" t="s">
        <v>57</v>
      </c>
      <c r="J13" s="4">
        <v>10806</v>
      </c>
      <c r="K13" s="4">
        <v>557</v>
      </c>
      <c r="L13">
        <f t="shared" si="1"/>
        <v>10249</v>
      </c>
      <c r="O13" s="27" t="s">
        <v>90</v>
      </c>
      <c r="P13" s="27" t="s">
        <v>39</v>
      </c>
      <c r="Q13" s="27" t="s">
        <v>39</v>
      </c>
      <c r="U13" s="27" t="s">
        <v>83</v>
      </c>
      <c r="V13" s="27" t="s">
        <v>39</v>
      </c>
      <c r="W13" s="27" t="s">
        <v>39</v>
      </c>
    </row>
    <row r="14" spans="1:24" ht="30">
      <c r="I14" s="4" t="s">
        <v>60</v>
      </c>
      <c r="J14" s="4">
        <v>19730</v>
      </c>
      <c r="K14" s="4">
        <v>1331</v>
      </c>
      <c r="L14">
        <f t="shared" si="1"/>
        <v>18399</v>
      </c>
      <c r="N14" s="1"/>
      <c r="O14" s="4" t="s">
        <v>91</v>
      </c>
      <c r="P14" s="1">
        <v>2602923</v>
      </c>
      <c r="Q14" s="1">
        <v>111269</v>
      </c>
      <c r="R14">
        <f>P14-Q14</f>
        <v>2491654</v>
      </c>
      <c r="S14" s="1"/>
      <c r="T14" s="1"/>
      <c r="U14" s="4" t="s">
        <v>91</v>
      </c>
      <c r="V14" s="4">
        <v>1145</v>
      </c>
      <c r="W14" s="4">
        <v>82</v>
      </c>
      <c r="X14" s="1">
        <f>V14-W14</f>
        <v>1063</v>
      </c>
    </row>
    <row r="15" spans="1:24" ht="30">
      <c r="I15" s="4" t="s">
        <v>71</v>
      </c>
      <c r="J15" s="4">
        <v>677</v>
      </c>
      <c r="K15" s="4">
        <v>57</v>
      </c>
      <c r="L15">
        <f t="shared" si="1"/>
        <v>620</v>
      </c>
      <c r="N15" s="1"/>
      <c r="O15" s="4" t="s">
        <v>92</v>
      </c>
      <c r="P15" s="1">
        <v>1187493</v>
      </c>
      <c r="Q15" s="1">
        <v>62349</v>
      </c>
      <c r="R15">
        <f t="shared" ref="R15:R18" si="4">P15-Q15</f>
        <v>1125144</v>
      </c>
      <c r="S15" s="1"/>
      <c r="T15" s="1"/>
      <c r="U15" s="4" t="s">
        <v>92</v>
      </c>
      <c r="V15" s="4">
        <v>1856</v>
      </c>
      <c r="W15" s="4">
        <v>108</v>
      </c>
      <c r="X15" s="1">
        <f t="shared" ref="X15:X17" si="5">V15-W15</f>
        <v>1748</v>
      </c>
    </row>
    <row r="16" spans="1:24" ht="45">
      <c r="I16" s="4" t="s">
        <v>53</v>
      </c>
      <c r="J16" s="4">
        <v>43849</v>
      </c>
      <c r="K16" s="4">
        <v>2888</v>
      </c>
      <c r="L16">
        <f t="shared" si="1"/>
        <v>40961</v>
      </c>
      <c r="N16" s="1"/>
      <c r="O16" s="4" t="s">
        <v>93</v>
      </c>
      <c r="P16" s="1">
        <v>22404</v>
      </c>
      <c r="Q16" s="1">
        <v>1505</v>
      </c>
      <c r="R16">
        <f t="shared" si="4"/>
        <v>20899</v>
      </c>
      <c r="S16" s="1"/>
      <c r="T16" s="1"/>
      <c r="U16" s="4" t="s">
        <v>94</v>
      </c>
      <c r="V16" s="4">
        <v>1</v>
      </c>
      <c r="W16" s="28"/>
      <c r="X16" s="1">
        <f t="shared" si="5"/>
        <v>1</v>
      </c>
    </row>
    <row r="17" spans="9:24" ht="45">
      <c r="I17" s="4" t="s">
        <v>48</v>
      </c>
      <c r="J17" s="4">
        <v>168480</v>
      </c>
      <c r="K17" s="4">
        <v>11367</v>
      </c>
      <c r="L17">
        <f t="shared" si="1"/>
        <v>157113</v>
      </c>
      <c r="N17" s="1"/>
      <c r="O17" s="4" t="s">
        <v>94</v>
      </c>
      <c r="P17" s="1">
        <v>45370</v>
      </c>
      <c r="Q17" s="1">
        <v>2976</v>
      </c>
      <c r="R17">
        <f t="shared" si="4"/>
        <v>42394</v>
      </c>
      <c r="S17" s="1"/>
      <c r="T17" s="1"/>
      <c r="U17" s="4" t="s">
        <v>95</v>
      </c>
      <c r="V17" s="4">
        <v>179434</v>
      </c>
      <c r="W17" s="4">
        <v>11662</v>
      </c>
      <c r="X17" s="1">
        <f t="shared" si="5"/>
        <v>167772</v>
      </c>
    </row>
    <row r="18" spans="9:24">
      <c r="I18" s="4" t="s">
        <v>61</v>
      </c>
      <c r="J18" s="4">
        <v>27463</v>
      </c>
      <c r="K18" s="4">
        <v>1177</v>
      </c>
      <c r="L18">
        <f t="shared" si="1"/>
        <v>26286</v>
      </c>
      <c r="N18" s="1"/>
      <c r="O18" s="4" t="s">
        <v>95</v>
      </c>
      <c r="P18" s="1">
        <v>49118</v>
      </c>
      <c r="Q18" s="1">
        <v>3160</v>
      </c>
      <c r="R18">
        <f t="shared" si="4"/>
        <v>45958</v>
      </c>
      <c r="S18" s="1"/>
      <c r="T18" s="1"/>
    </row>
    <row r="19" spans="9:24" ht="30">
      <c r="I19" s="4" t="s">
        <v>51</v>
      </c>
      <c r="J19" s="4">
        <v>148360</v>
      </c>
      <c r="K19" s="4">
        <v>10647</v>
      </c>
      <c r="L19">
        <f t="shared" si="1"/>
        <v>137713</v>
      </c>
      <c r="N19" s="1"/>
    </row>
    <row r="20" spans="9:24" ht="30">
      <c r="I20" s="4" t="s">
        <v>50</v>
      </c>
      <c r="J20" s="4">
        <v>54401</v>
      </c>
      <c r="K20" s="4">
        <v>4175</v>
      </c>
      <c r="L20">
        <f t="shared" si="1"/>
        <v>50226</v>
      </c>
      <c r="N20" s="1"/>
    </row>
    <row r="21" spans="9:24" ht="30">
      <c r="I21" s="4" t="s">
        <v>62</v>
      </c>
      <c r="J21" s="4">
        <v>9333</v>
      </c>
      <c r="K21" s="4">
        <v>719</v>
      </c>
      <c r="L21">
        <f t="shared" si="1"/>
        <v>8614</v>
      </c>
      <c r="N21" s="26" t="s">
        <v>10</v>
      </c>
      <c r="T21" s="26" t="s">
        <v>9</v>
      </c>
    </row>
    <row r="22" spans="9:24">
      <c r="O22" s="27" t="s">
        <v>98</v>
      </c>
      <c r="P22" s="27" t="s">
        <v>39</v>
      </c>
      <c r="Q22" s="27" t="s">
        <v>39</v>
      </c>
      <c r="U22" s="27" t="s">
        <v>98</v>
      </c>
      <c r="V22" s="27" t="s">
        <v>39</v>
      </c>
      <c r="W22" s="27" t="s">
        <v>39</v>
      </c>
    </row>
    <row r="23" spans="9:24">
      <c r="O23" s="4" t="s">
        <v>1</v>
      </c>
      <c r="P23" s="4">
        <v>22275</v>
      </c>
      <c r="Q23" s="4">
        <v>2018</v>
      </c>
      <c r="R23" s="1">
        <f>P23-Q23</f>
        <v>20257</v>
      </c>
      <c r="U23" s="4" t="s">
        <v>1</v>
      </c>
      <c r="V23" s="4">
        <v>247</v>
      </c>
      <c r="W23" s="4">
        <v>33</v>
      </c>
      <c r="X23" s="1">
        <f>V23-W23</f>
        <v>214</v>
      </c>
    </row>
    <row r="24" spans="9:24">
      <c r="O24" s="4"/>
      <c r="P24" s="4">
        <v>176</v>
      </c>
      <c r="Q24" s="4">
        <v>23</v>
      </c>
      <c r="R24" s="1">
        <f t="shared" ref="R24:R33" si="6">P24-Q24</f>
        <v>153</v>
      </c>
      <c r="U24" s="4">
        <v>0</v>
      </c>
      <c r="V24" s="4">
        <v>18944</v>
      </c>
      <c r="W24" s="4">
        <v>1296</v>
      </c>
      <c r="X24" s="1">
        <f t="shared" ref="X24:X26" si="7">V24-W24</f>
        <v>17648</v>
      </c>
    </row>
    <row r="25" spans="9:24">
      <c r="O25" s="4">
        <v>0</v>
      </c>
      <c r="P25" s="4">
        <v>119007</v>
      </c>
      <c r="Q25" s="4">
        <v>7683</v>
      </c>
      <c r="R25" s="1">
        <f t="shared" si="6"/>
        <v>111324</v>
      </c>
      <c r="U25" s="4" t="s">
        <v>96</v>
      </c>
      <c r="V25" s="4">
        <v>7</v>
      </c>
      <c r="W25" s="4">
        <v>1</v>
      </c>
      <c r="X25" s="1">
        <f t="shared" si="7"/>
        <v>6</v>
      </c>
    </row>
    <row r="26" spans="9:24" ht="30">
      <c r="O26" s="4" t="s">
        <v>96</v>
      </c>
      <c r="P26" s="4">
        <v>30267</v>
      </c>
      <c r="Q26" s="4">
        <v>1255</v>
      </c>
      <c r="R26" s="1">
        <f t="shared" si="6"/>
        <v>29012</v>
      </c>
      <c r="U26" s="4" t="s">
        <v>97</v>
      </c>
      <c r="V26" s="4">
        <v>173623</v>
      </c>
      <c r="W26" s="4">
        <v>11368</v>
      </c>
      <c r="X26" s="1">
        <f t="shared" si="7"/>
        <v>162255</v>
      </c>
    </row>
    <row r="27" spans="9:24">
      <c r="O27" s="4" t="s">
        <v>99</v>
      </c>
      <c r="P27" s="4">
        <v>29801</v>
      </c>
      <c r="Q27" s="4">
        <v>2041</v>
      </c>
      <c r="R27" s="1">
        <f t="shared" si="6"/>
        <v>27760</v>
      </c>
    </row>
    <row r="28" spans="9:24">
      <c r="O28" s="4" t="s">
        <v>100</v>
      </c>
      <c r="P28" s="4">
        <v>60770</v>
      </c>
      <c r="Q28" s="4">
        <v>4148</v>
      </c>
      <c r="R28" s="1">
        <f t="shared" si="6"/>
        <v>56622</v>
      </c>
    </row>
    <row r="29" spans="9:24" ht="30">
      <c r="O29" s="4" t="s">
        <v>101</v>
      </c>
      <c r="P29" s="4">
        <v>1119</v>
      </c>
      <c r="Q29" s="4">
        <v>111</v>
      </c>
      <c r="R29" s="1">
        <f t="shared" si="6"/>
        <v>1008</v>
      </c>
    </row>
    <row r="30" spans="9:24">
      <c r="O30" s="4" t="s">
        <v>102</v>
      </c>
      <c r="P30" s="4">
        <v>856852</v>
      </c>
      <c r="Q30" s="4">
        <v>45080</v>
      </c>
      <c r="R30" s="1">
        <f t="shared" si="6"/>
        <v>811772</v>
      </c>
    </row>
    <row r="31" spans="9:24">
      <c r="O31" s="4" t="s">
        <v>103</v>
      </c>
      <c r="P31" s="4">
        <v>1411</v>
      </c>
      <c r="Q31" s="4">
        <v>46</v>
      </c>
      <c r="R31" s="1">
        <f t="shared" si="6"/>
        <v>1365</v>
      </c>
    </row>
    <row r="32" spans="9:24" ht="30">
      <c r="O32" s="4" t="s">
        <v>97</v>
      </c>
      <c r="P32" s="4">
        <v>2824364</v>
      </c>
      <c r="Q32" s="4">
        <v>120760</v>
      </c>
      <c r="R32" s="1">
        <f t="shared" si="6"/>
        <v>2703604</v>
      </c>
    </row>
    <row r="33" spans="15:18">
      <c r="O33" s="4" t="s">
        <v>104</v>
      </c>
      <c r="P33" s="4">
        <v>104039</v>
      </c>
      <c r="Q33" s="4">
        <v>7084</v>
      </c>
      <c r="R33" s="1">
        <f t="shared" si="6"/>
        <v>96955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9"/>
  <sheetViews>
    <sheetView showGridLines="0" topLeftCell="A16" workbookViewId="0">
      <selection activeCell="I90" sqref="I90"/>
    </sheetView>
  </sheetViews>
  <sheetFormatPr defaultRowHeight="15"/>
  <cols>
    <col min="1" max="1" width="4.5703125" customWidth="1"/>
    <col min="2" max="2" width="9" customWidth="1"/>
    <col min="3" max="3" width="12.85546875" customWidth="1"/>
    <col min="4" max="4" width="26.140625" bestFit="1" customWidth="1"/>
    <col min="5" max="5" width="14" bestFit="1" customWidth="1"/>
    <col min="6" max="6" width="13.7109375" customWidth="1"/>
  </cols>
  <sheetData>
    <row r="1" spans="1:6">
      <c r="A1" s="26" t="s">
        <v>74</v>
      </c>
    </row>
    <row r="2" spans="1:6">
      <c r="B2" s="26" t="s">
        <v>9</v>
      </c>
      <c r="D2" s="26" t="s">
        <v>17</v>
      </c>
      <c r="E2" s="26" t="s">
        <v>16</v>
      </c>
    </row>
    <row r="3" spans="1:6">
      <c r="C3" s="27" t="s">
        <v>72</v>
      </c>
      <c r="D3" s="27" t="s">
        <v>39</v>
      </c>
      <c r="E3" s="27" t="s">
        <v>39</v>
      </c>
      <c r="F3" s="27" t="s">
        <v>75</v>
      </c>
    </row>
    <row r="4" spans="1:6" ht="30">
      <c r="C4" s="4" t="s">
        <v>46</v>
      </c>
      <c r="D4" s="28">
        <v>1</v>
      </c>
      <c r="E4" s="4">
        <v>1</v>
      </c>
      <c r="F4" s="29">
        <f t="shared" ref="F4:F12" si="0">E4/D4</f>
        <v>1</v>
      </c>
    </row>
    <row r="5" spans="1:6" ht="30">
      <c r="C5" s="4" t="s">
        <v>45</v>
      </c>
      <c r="D5" s="28">
        <v>6</v>
      </c>
      <c r="E5" s="4">
        <v>2</v>
      </c>
      <c r="F5" s="29">
        <f t="shared" si="0"/>
        <v>0.33333333333333331</v>
      </c>
    </row>
    <row r="6" spans="1:6" ht="30">
      <c r="C6" s="4" t="s">
        <v>65</v>
      </c>
      <c r="D6" s="28">
        <v>27979</v>
      </c>
      <c r="E6" s="4">
        <v>2264</v>
      </c>
      <c r="F6" s="29">
        <f t="shared" si="0"/>
        <v>8.0917831230565784E-2</v>
      </c>
    </row>
    <row r="7" spans="1:6">
      <c r="C7" s="4" t="s">
        <v>68</v>
      </c>
      <c r="D7" s="28">
        <v>1062</v>
      </c>
      <c r="E7" s="4">
        <v>82</v>
      </c>
      <c r="F7" s="29">
        <f t="shared" si="0"/>
        <v>7.7212806026365349E-2</v>
      </c>
    </row>
    <row r="8" spans="1:6" ht="30">
      <c r="C8" s="4" t="s">
        <v>64</v>
      </c>
      <c r="D8" s="28">
        <v>71476</v>
      </c>
      <c r="E8" s="4">
        <v>5332</v>
      </c>
      <c r="F8" s="29">
        <f t="shared" si="0"/>
        <v>7.4598466618165535E-2</v>
      </c>
    </row>
    <row r="9" spans="1:6" ht="30">
      <c r="C9" s="4" t="s">
        <v>63</v>
      </c>
      <c r="D9" s="28">
        <v>97397</v>
      </c>
      <c r="E9" s="4">
        <v>7183</v>
      </c>
      <c r="F9" s="29">
        <f t="shared" si="0"/>
        <v>7.374970481637011E-2</v>
      </c>
    </row>
    <row r="10" spans="1:6" ht="30">
      <c r="C10" s="4" t="s">
        <v>67</v>
      </c>
      <c r="D10" s="28">
        <v>3178</v>
      </c>
      <c r="E10" s="4">
        <v>223</v>
      </c>
      <c r="F10" s="29">
        <f t="shared" si="0"/>
        <v>7.0169918187539329E-2</v>
      </c>
    </row>
    <row r="11" spans="1:6" ht="30">
      <c r="C11" s="4" t="s">
        <v>69</v>
      </c>
      <c r="D11" s="28">
        <v>441</v>
      </c>
      <c r="E11" s="4">
        <v>30</v>
      </c>
      <c r="F11" s="29">
        <f t="shared" si="0"/>
        <v>6.8027210884353748E-2</v>
      </c>
    </row>
    <row r="12" spans="1:6">
      <c r="C12" s="4" t="s">
        <v>66</v>
      </c>
      <c r="D12" s="28">
        <v>1410</v>
      </c>
      <c r="E12" s="4">
        <v>85</v>
      </c>
      <c r="F12" s="29">
        <f t="shared" si="0"/>
        <v>6.0283687943262408E-2</v>
      </c>
    </row>
    <row r="15" spans="1:6">
      <c r="B15" s="26" t="s">
        <v>10</v>
      </c>
      <c r="D15" s="26" t="s">
        <v>17</v>
      </c>
      <c r="E15" s="26" t="s">
        <v>16</v>
      </c>
    </row>
    <row r="16" spans="1:6">
      <c r="C16" s="27" t="s">
        <v>74</v>
      </c>
      <c r="D16" s="27" t="s">
        <v>39</v>
      </c>
      <c r="E16" s="27" t="s">
        <v>39</v>
      </c>
      <c r="F16" s="27" t="s">
        <v>76</v>
      </c>
    </row>
    <row r="17" spans="3:6">
      <c r="C17" s="4" t="s">
        <v>59</v>
      </c>
      <c r="D17" s="28">
        <v>153</v>
      </c>
      <c r="E17" s="4">
        <v>24</v>
      </c>
      <c r="F17" s="29">
        <f t="shared" ref="F17:F35" si="1">E17/D17</f>
        <v>0.15686274509803921</v>
      </c>
    </row>
    <row r="18" spans="3:6" ht="45">
      <c r="C18" s="4" t="s">
        <v>54</v>
      </c>
      <c r="D18" s="28">
        <v>2840</v>
      </c>
      <c r="E18" s="4">
        <v>296</v>
      </c>
      <c r="F18" s="29">
        <f t="shared" si="1"/>
        <v>0.10422535211267606</v>
      </c>
    </row>
    <row r="19" spans="3:6" ht="30">
      <c r="C19" s="4" t="s">
        <v>71</v>
      </c>
      <c r="D19" s="28">
        <v>620</v>
      </c>
      <c r="E19" s="4">
        <v>57</v>
      </c>
      <c r="F19" s="29">
        <f t="shared" si="1"/>
        <v>9.1935483870967741E-2</v>
      </c>
    </row>
    <row r="20" spans="3:6" ht="30">
      <c r="C20" s="4" t="s">
        <v>52</v>
      </c>
      <c r="D20" s="28">
        <v>45873</v>
      </c>
      <c r="E20" s="4">
        <v>4074</v>
      </c>
      <c r="F20" s="29">
        <f t="shared" si="1"/>
        <v>8.8810411353083513E-2</v>
      </c>
    </row>
    <row r="21" spans="3:6" ht="30">
      <c r="C21" s="4" t="s">
        <v>62</v>
      </c>
      <c r="D21" s="28">
        <v>8614</v>
      </c>
      <c r="E21" s="4">
        <v>719</v>
      </c>
      <c r="F21" s="29">
        <f t="shared" si="1"/>
        <v>8.3468771766891103E-2</v>
      </c>
    </row>
    <row r="22" spans="3:6" ht="30">
      <c r="C22" s="4" t="s">
        <v>50</v>
      </c>
      <c r="D22" s="28">
        <v>50226</v>
      </c>
      <c r="E22" s="4">
        <v>4175</v>
      </c>
      <c r="F22" s="29">
        <f t="shared" si="1"/>
        <v>8.3124278262254603E-2</v>
      </c>
    </row>
    <row r="23" spans="3:6" ht="30">
      <c r="C23" s="4" t="s">
        <v>46</v>
      </c>
      <c r="D23" s="28">
        <v>91797</v>
      </c>
      <c r="E23" s="4">
        <v>7496</v>
      </c>
      <c r="F23" s="29">
        <f t="shared" si="1"/>
        <v>8.1658441997015149E-2</v>
      </c>
    </row>
    <row r="24" spans="3:6" ht="30">
      <c r="C24" s="4" t="s">
        <v>51</v>
      </c>
      <c r="D24" s="28">
        <v>137713</v>
      </c>
      <c r="E24" s="4">
        <v>10647</v>
      </c>
      <c r="F24" s="29">
        <f t="shared" si="1"/>
        <v>7.7312962465417204E-2</v>
      </c>
    </row>
    <row r="25" spans="3:6">
      <c r="C25" s="4" t="s">
        <v>49</v>
      </c>
      <c r="D25" s="28">
        <v>80420</v>
      </c>
      <c r="E25" s="4">
        <v>6036</v>
      </c>
      <c r="F25" s="29">
        <f t="shared" si="1"/>
        <v>7.505595622979358E-2</v>
      </c>
    </row>
    <row r="26" spans="3:6" ht="45">
      <c r="C26" s="4" t="s">
        <v>48</v>
      </c>
      <c r="D26" s="28">
        <v>157113</v>
      </c>
      <c r="E26" s="4">
        <v>11367</v>
      </c>
      <c r="F26" s="29">
        <f t="shared" si="1"/>
        <v>7.234920089362433E-2</v>
      </c>
    </row>
    <row r="27" spans="3:6" ht="30">
      <c r="C27" s="4" t="s">
        <v>60</v>
      </c>
      <c r="D27" s="28">
        <v>18399</v>
      </c>
      <c r="E27" s="4">
        <v>1331</v>
      </c>
      <c r="F27" s="29">
        <f t="shared" si="1"/>
        <v>7.2340888091744118E-2</v>
      </c>
    </row>
    <row r="28" spans="3:6" ht="30">
      <c r="C28" s="4" t="s">
        <v>53</v>
      </c>
      <c r="D28" s="28">
        <v>40961</v>
      </c>
      <c r="E28" s="4">
        <v>2888</v>
      </c>
      <c r="F28" s="29">
        <f t="shared" si="1"/>
        <v>7.0506091159883794E-2</v>
      </c>
    </row>
    <row r="29" spans="3:6">
      <c r="C29" s="4" t="s">
        <v>56</v>
      </c>
      <c r="D29" s="28">
        <v>35600</v>
      </c>
      <c r="E29" s="4">
        <v>2279</v>
      </c>
      <c r="F29" s="29">
        <f t="shared" si="1"/>
        <v>6.4016853932584272E-2</v>
      </c>
    </row>
    <row r="30" spans="3:6" ht="30">
      <c r="C30" s="4" t="s">
        <v>45</v>
      </c>
      <c r="D30" s="28">
        <v>978801</v>
      </c>
      <c r="E30" s="4">
        <v>54623</v>
      </c>
      <c r="F30" s="29">
        <f t="shared" si="1"/>
        <v>5.5806032073935356E-2</v>
      </c>
    </row>
    <row r="31" spans="3:6" ht="30">
      <c r="C31" s="4" t="s">
        <v>57</v>
      </c>
      <c r="D31" s="28">
        <v>10249</v>
      </c>
      <c r="E31" s="4">
        <v>557</v>
      </c>
      <c r="F31" s="29">
        <f t="shared" si="1"/>
        <v>5.4346765538101277E-2</v>
      </c>
    </row>
    <row r="32" spans="3:6">
      <c r="C32" s="4" t="s">
        <v>47</v>
      </c>
      <c r="D32" s="28">
        <v>342118</v>
      </c>
      <c r="E32" s="4">
        <v>16987</v>
      </c>
      <c r="F32" s="29">
        <f t="shared" si="1"/>
        <v>4.9652459093061457E-2</v>
      </c>
    </row>
    <row r="33" spans="1:6">
      <c r="C33" s="4" t="s">
        <v>44</v>
      </c>
      <c r="D33" s="28">
        <v>2226681</v>
      </c>
      <c r="E33" s="4">
        <v>104044</v>
      </c>
      <c r="F33" s="29">
        <f t="shared" si="1"/>
        <v>4.6726046523952014E-2</v>
      </c>
    </row>
    <row r="34" spans="1:6">
      <c r="C34" s="4" t="s">
        <v>61</v>
      </c>
      <c r="D34" s="28">
        <v>26286</v>
      </c>
      <c r="E34" s="4">
        <v>1177</v>
      </c>
      <c r="F34" s="29">
        <f t="shared" si="1"/>
        <v>4.4776687209921631E-2</v>
      </c>
    </row>
    <row r="35" spans="1:6">
      <c r="C35" s="4" t="s">
        <v>58</v>
      </c>
      <c r="D35" s="28">
        <v>1478</v>
      </c>
      <c r="E35" s="4">
        <v>51</v>
      </c>
      <c r="F35" s="29">
        <f t="shared" si="1"/>
        <v>3.4506089309878217E-2</v>
      </c>
    </row>
    <row r="38" spans="1:6">
      <c r="A38" s="26" t="s">
        <v>84</v>
      </c>
    </row>
    <row r="39" spans="1:6">
      <c r="B39" s="26" t="s">
        <v>10</v>
      </c>
      <c r="D39" s="26" t="s">
        <v>17</v>
      </c>
      <c r="E39" s="26" t="s">
        <v>16</v>
      </c>
    </row>
    <row r="40" spans="1:6">
      <c r="C40" s="27" t="s">
        <v>83</v>
      </c>
      <c r="D40" s="27" t="s">
        <v>39</v>
      </c>
      <c r="E40" s="27" t="s">
        <v>39</v>
      </c>
      <c r="F40" s="27" t="s">
        <v>76</v>
      </c>
    </row>
    <row r="41" spans="1:6">
      <c r="C41" s="4" t="s">
        <v>1</v>
      </c>
      <c r="D41" s="4">
        <v>683</v>
      </c>
      <c r="E41" s="4">
        <v>132</v>
      </c>
      <c r="F41" s="29">
        <f>E41/D41</f>
        <v>0.19326500732064422</v>
      </c>
    </row>
    <row r="42" spans="1:6">
      <c r="C42" s="4" t="s">
        <v>77</v>
      </c>
      <c r="D42" s="4">
        <v>1080615</v>
      </c>
      <c r="E42" s="4">
        <v>39176</v>
      </c>
      <c r="F42" s="29">
        <f t="shared" ref="F42:F47" si="2">E42/D42</f>
        <v>3.625342975990524E-2</v>
      </c>
    </row>
    <row r="43" spans="1:6">
      <c r="C43" s="4" t="s">
        <v>78</v>
      </c>
      <c r="D43" s="4">
        <v>1031072</v>
      </c>
      <c r="E43" s="4">
        <v>47901</v>
      </c>
      <c r="F43" s="29">
        <f t="shared" si="2"/>
        <v>4.645747338692157E-2</v>
      </c>
    </row>
    <row r="44" spans="1:6">
      <c r="C44" s="4" t="s">
        <v>79</v>
      </c>
      <c r="D44" s="4">
        <v>568144</v>
      </c>
      <c r="E44" s="4">
        <v>27849</v>
      </c>
      <c r="F44" s="29">
        <f t="shared" si="2"/>
        <v>4.9017502604973388E-2</v>
      </c>
    </row>
    <row r="45" spans="1:6">
      <c r="C45" s="4" t="s">
        <v>80</v>
      </c>
      <c r="D45" s="4">
        <v>286906</v>
      </c>
      <c r="E45" s="4">
        <v>11571</v>
      </c>
      <c r="F45" s="29">
        <f t="shared" si="2"/>
        <v>4.0330282392142376E-2</v>
      </c>
    </row>
    <row r="46" spans="1:6">
      <c r="C46" s="4" t="s">
        <v>81</v>
      </c>
      <c r="D46" s="4">
        <v>78698</v>
      </c>
      <c r="E46" s="4">
        <v>2800</v>
      </c>
      <c r="F46" s="29">
        <f t="shared" si="2"/>
        <v>3.557904902284683E-2</v>
      </c>
    </row>
    <row r="47" spans="1:6">
      <c r="C47" s="4" t="s">
        <v>82</v>
      </c>
      <c r="D47" s="4">
        <v>8163</v>
      </c>
      <c r="E47" s="4">
        <v>275</v>
      </c>
      <c r="F47" s="29">
        <f t="shared" si="2"/>
        <v>3.368859487933358E-2</v>
      </c>
    </row>
    <row r="49" spans="1:6">
      <c r="B49" s="26" t="s">
        <v>9</v>
      </c>
    </row>
    <row r="50" spans="1:6">
      <c r="C50" s="27" t="s">
        <v>83</v>
      </c>
      <c r="D50" s="27" t="s">
        <v>39</v>
      </c>
      <c r="E50" s="27" t="s">
        <v>39</v>
      </c>
      <c r="F50" s="27" t="s">
        <v>75</v>
      </c>
    </row>
    <row r="51" spans="1:6">
      <c r="C51" s="4" t="s">
        <v>1</v>
      </c>
      <c r="D51" s="28">
        <v>693</v>
      </c>
      <c r="E51" s="4">
        <v>71</v>
      </c>
      <c r="F51" s="29">
        <f>E51/D51</f>
        <v>0.10245310245310245</v>
      </c>
    </row>
    <row r="52" spans="1:6">
      <c r="C52" s="4" t="s">
        <v>77</v>
      </c>
      <c r="D52" s="28">
        <v>142082</v>
      </c>
      <c r="E52" s="4">
        <v>9867</v>
      </c>
      <c r="F52" s="29">
        <f t="shared" ref="F52:F55" si="3">E52/D52</f>
        <v>6.9445812981236185E-2</v>
      </c>
    </row>
    <row r="53" spans="1:6">
      <c r="C53" s="4" t="s">
        <v>78</v>
      </c>
      <c r="D53" s="28">
        <v>26749</v>
      </c>
      <c r="E53" s="4">
        <v>1804</v>
      </c>
      <c r="F53" s="29">
        <f t="shared" si="3"/>
        <v>6.7441773524243895E-2</v>
      </c>
    </row>
    <row r="54" spans="1:6">
      <c r="C54" s="4" t="s">
        <v>79</v>
      </c>
      <c r="D54" s="28">
        <v>356</v>
      </c>
      <c r="E54" s="4">
        <v>24</v>
      </c>
      <c r="F54" s="29">
        <f t="shared" si="3"/>
        <v>6.741573033707865E-2</v>
      </c>
    </row>
    <row r="55" spans="1:6">
      <c r="C55" s="4" t="s">
        <v>80</v>
      </c>
      <c r="D55" s="28">
        <v>1</v>
      </c>
      <c r="E55" s="4">
        <v>0</v>
      </c>
      <c r="F55" s="29">
        <f t="shared" si="3"/>
        <v>0</v>
      </c>
    </row>
    <row r="59" spans="1:6">
      <c r="A59" s="26" t="s">
        <v>90</v>
      </c>
    </row>
    <row r="60" spans="1:6">
      <c r="B60" s="26" t="s">
        <v>10</v>
      </c>
    </row>
    <row r="61" spans="1:6">
      <c r="C61" s="27" t="s">
        <v>90</v>
      </c>
      <c r="D61" s="27" t="s">
        <v>39</v>
      </c>
      <c r="E61" s="27" t="s">
        <v>39</v>
      </c>
      <c r="F61" s="27" t="s">
        <v>76</v>
      </c>
    </row>
    <row r="62" spans="1:6">
      <c r="C62" s="4" t="s">
        <v>91</v>
      </c>
      <c r="D62" s="28">
        <v>2491654</v>
      </c>
      <c r="E62" s="4">
        <v>111269</v>
      </c>
      <c r="F62" s="29">
        <f>E62/D62</f>
        <v>4.4656681866743937E-2</v>
      </c>
    </row>
    <row r="63" spans="1:6" ht="30">
      <c r="C63" s="4" t="s">
        <v>92</v>
      </c>
      <c r="D63" s="28">
        <v>1125144</v>
      </c>
      <c r="E63" s="4">
        <v>62349</v>
      </c>
      <c r="F63" s="29">
        <f t="shared" ref="F63:F66" si="4">E63/D63</f>
        <v>5.5414240310573577E-2</v>
      </c>
    </row>
    <row r="64" spans="1:6" ht="30">
      <c r="C64" s="4" t="s">
        <v>93</v>
      </c>
      <c r="D64" s="28">
        <v>20899</v>
      </c>
      <c r="E64" s="4">
        <v>1505</v>
      </c>
      <c r="F64" s="29">
        <f t="shared" si="4"/>
        <v>7.2013014976793147E-2</v>
      </c>
    </row>
    <row r="65" spans="1:6" ht="30">
      <c r="C65" s="4" t="s">
        <v>94</v>
      </c>
      <c r="D65" s="28">
        <v>42394</v>
      </c>
      <c r="E65" s="4">
        <v>2976</v>
      </c>
      <c r="F65" s="29">
        <f t="shared" si="4"/>
        <v>7.0198613011275182E-2</v>
      </c>
    </row>
    <row r="66" spans="1:6">
      <c r="C66" s="4" t="s">
        <v>95</v>
      </c>
      <c r="D66" s="28">
        <v>45958</v>
      </c>
      <c r="E66" s="4">
        <v>3160</v>
      </c>
      <c r="F66" s="29">
        <f t="shared" si="4"/>
        <v>6.8758431611471341E-2</v>
      </c>
    </row>
    <row r="70" spans="1:6">
      <c r="B70" s="26" t="s">
        <v>9</v>
      </c>
    </row>
    <row r="71" spans="1:6">
      <c r="C71" s="27" t="s">
        <v>90</v>
      </c>
      <c r="D71" s="27" t="s">
        <v>39</v>
      </c>
      <c r="E71" s="27" t="s">
        <v>39</v>
      </c>
      <c r="F71" s="27" t="s">
        <v>75</v>
      </c>
    </row>
    <row r="72" spans="1:6">
      <c r="C72" s="4" t="s">
        <v>91</v>
      </c>
      <c r="D72" s="28">
        <v>1063</v>
      </c>
      <c r="E72" s="4">
        <v>82</v>
      </c>
      <c r="F72" s="29">
        <f>E72/D72</f>
        <v>7.7140169332079025E-2</v>
      </c>
    </row>
    <row r="73" spans="1:6" ht="30">
      <c r="C73" s="4" t="s">
        <v>92</v>
      </c>
      <c r="D73" s="28">
        <v>1748</v>
      </c>
      <c r="E73" s="4">
        <v>108</v>
      </c>
      <c r="F73" s="29">
        <f t="shared" ref="F73:F75" si="5">E73/D73</f>
        <v>6.1784897025171627E-2</v>
      </c>
    </row>
    <row r="74" spans="1:6" ht="30">
      <c r="C74" s="4" t="s">
        <v>94</v>
      </c>
      <c r="D74" s="28">
        <v>1</v>
      </c>
      <c r="E74" s="28"/>
      <c r="F74" s="29">
        <f t="shared" si="5"/>
        <v>0</v>
      </c>
    </row>
    <row r="75" spans="1:6">
      <c r="C75" s="4" t="s">
        <v>95</v>
      </c>
      <c r="D75" s="28">
        <v>167772</v>
      </c>
      <c r="E75" s="4">
        <v>11662</v>
      </c>
      <c r="F75" s="29">
        <f t="shared" si="5"/>
        <v>6.9511003027918836E-2</v>
      </c>
    </row>
    <row r="78" spans="1:6">
      <c r="A78" s="26" t="s">
        <v>98</v>
      </c>
    </row>
    <row r="79" spans="1:6">
      <c r="B79" s="26" t="s">
        <v>10</v>
      </c>
    </row>
    <row r="80" spans="1:6">
      <c r="C80" s="27" t="s">
        <v>98</v>
      </c>
      <c r="D80" s="27" t="s">
        <v>39</v>
      </c>
      <c r="E80" s="27" t="s">
        <v>39</v>
      </c>
      <c r="F80" s="27" t="s">
        <v>76</v>
      </c>
    </row>
    <row r="81" spans="2:6">
      <c r="C81" s="4" t="s">
        <v>1</v>
      </c>
      <c r="D81" s="4">
        <v>20257</v>
      </c>
      <c r="E81" s="4">
        <v>2018</v>
      </c>
      <c r="F81" s="29">
        <f>E81/D81</f>
        <v>9.9619884484375767E-2</v>
      </c>
    </row>
    <row r="82" spans="2:6">
      <c r="C82" s="4"/>
      <c r="D82" s="4">
        <v>153</v>
      </c>
      <c r="E82" s="4">
        <v>23</v>
      </c>
      <c r="F82" s="29">
        <f t="shared" ref="F82:F91" si="6">E82/D82</f>
        <v>0.15032679738562091</v>
      </c>
    </row>
    <row r="83" spans="2:6">
      <c r="C83" s="4">
        <v>0</v>
      </c>
      <c r="D83" s="4">
        <v>111324</v>
      </c>
      <c r="E83" s="4">
        <v>7683</v>
      </c>
      <c r="F83" s="29">
        <f t="shared" si="6"/>
        <v>6.9014767705077071E-2</v>
      </c>
    </row>
    <row r="84" spans="2:6">
      <c r="C84" s="4" t="s">
        <v>96</v>
      </c>
      <c r="D84" s="4">
        <v>29012</v>
      </c>
      <c r="E84" s="4">
        <v>1255</v>
      </c>
      <c r="F84" s="29">
        <f t="shared" si="6"/>
        <v>4.3257962222528611E-2</v>
      </c>
    </row>
    <row r="85" spans="2:6">
      <c r="C85" s="4" t="s">
        <v>99</v>
      </c>
      <c r="D85" s="4">
        <v>27760</v>
      </c>
      <c r="E85" s="4">
        <v>2041</v>
      </c>
      <c r="F85" s="29">
        <f t="shared" si="6"/>
        <v>7.3523054755043227E-2</v>
      </c>
    </row>
    <row r="86" spans="2:6">
      <c r="C86" s="4" t="s">
        <v>100</v>
      </c>
      <c r="D86" s="4">
        <v>56622</v>
      </c>
      <c r="E86" s="4">
        <v>4148</v>
      </c>
      <c r="F86" s="29">
        <f t="shared" si="6"/>
        <v>7.325774433965597E-2</v>
      </c>
    </row>
    <row r="87" spans="2:6">
      <c r="C87" s="4" t="s">
        <v>101</v>
      </c>
      <c r="D87" s="4">
        <v>1008</v>
      </c>
      <c r="E87" s="4">
        <v>111</v>
      </c>
      <c r="F87" s="29">
        <f t="shared" si="6"/>
        <v>0.11011904761904762</v>
      </c>
    </row>
    <row r="88" spans="2:6">
      <c r="C88" s="4" t="s">
        <v>102</v>
      </c>
      <c r="D88" s="4">
        <v>811772</v>
      </c>
      <c r="E88" s="4">
        <v>45080</v>
      </c>
      <c r="F88" s="29">
        <f t="shared" si="6"/>
        <v>5.5532834342647934E-2</v>
      </c>
    </row>
    <row r="89" spans="2:6">
      <c r="C89" s="4" t="s">
        <v>103</v>
      </c>
      <c r="D89" s="4">
        <v>1365</v>
      </c>
      <c r="E89" s="4">
        <v>46</v>
      </c>
      <c r="F89" s="29">
        <f t="shared" si="6"/>
        <v>3.3699633699633698E-2</v>
      </c>
    </row>
    <row r="90" spans="2:6">
      <c r="C90" s="4" t="s">
        <v>97</v>
      </c>
      <c r="D90" s="4">
        <v>2703604</v>
      </c>
      <c r="E90" s="4">
        <v>120760</v>
      </c>
      <c r="F90" s="29">
        <f t="shared" si="6"/>
        <v>4.4666304680715078E-2</v>
      </c>
    </row>
    <row r="91" spans="2:6">
      <c r="C91" s="4" t="s">
        <v>104</v>
      </c>
      <c r="D91" s="4">
        <v>96955</v>
      </c>
      <c r="E91" s="4">
        <v>7084</v>
      </c>
      <c r="F91" s="29">
        <f t="shared" si="6"/>
        <v>7.3064823887370428E-2</v>
      </c>
    </row>
    <row r="94" spans="2:6">
      <c r="B94" s="26" t="s">
        <v>9</v>
      </c>
    </row>
    <row r="95" spans="2:6">
      <c r="C95" s="27" t="s">
        <v>98</v>
      </c>
      <c r="D95" s="27" t="s">
        <v>39</v>
      </c>
      <c r="E95" s="27" t="s">
        <v>39</v>
      </c>
      <c r="F95" s="27" t="s">
        <v>75</v>
      </c>
    </row>
    <row r="96" spans="2:6">
      <c r="C96" s="4" t="s">
        <v>1</v>
      </c>
      <c r="D96" s="4">
        <v>214</v>
      </c>
      <c r="E96" s="4">
        <v>33</v>
      </c>
      <c r="F96" s="31">
        <f>E96/D96</f>
        <v>0.1542056074766355</v>
      </c>
    </row>
    <row r="97" spans="3:6">
      <c r="C97" s="4">
        <v>0</v>
      </c>
      <c r="D97" s="4">
        <v>17648</v>
      </c>
      <c r="E97" s="4">
        <v>1296</v>
      </c>
      <c r="F97" s="31">
        <f t="shared" ref="F97:F99" si="7">E97/D97</f>
        <v>7.3436083408884856E-2</v>
      </c>
    </row>
    <row r="98" spans="3:6">
      <c r="C98" s="4" t="s">
        <v>96</v>
      </c>
      <c r="D98" s="4">
        <v>6</v>
      </c>
      <c r="E98" s="4">
        <v>1</v>
      </c>
      <c r="F98" s="31">
        <f t="shared" si="7"/>
        <v>0.16666666666666666</v>
      </c>
    </row>
    <row r="99" spans="3:6">
      <c r="C99" s="4" t="s">
        <v>97</v>
      </c>
      <c r="D99" s="4">
        <v>162255</v>
      </c>
      <c r="E99" s="4">
        <v>11368</v>
      </c>
      <c r="F99" s="31">
        <f t="shared" si="7"/>
        <v>7.0062555853440567E-2</v>
      </c>
    </row>
  </sheetData>
  <sortState ref="A38:F47">
    <sortCondition descending="1" ref="F41"/>
  </sortState>
  <conditionalFormatting sqref="F4:F12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17:F35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40:F47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50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6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7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8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9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2"/>
  <sheetViews>
    <sheetView workbookViewId="0">
      <selection activeCell="T3" sqref="T3:T17"/>
    </sheetView>
  </sheetViews>
  <sheetFormatPr defaultRowHeight="15"/>
  <cols>
    <col min="5" max="5" width="19.42578125" customWidth="1"/>
    <col min="11" max="11" width="10.85546875" customWidth="1"/>
  </cols>
  <sheetData>
    <row r="1" spans="1:21">
      <c r="A1" s="26" t="s">
        <v>127</v>
      </c>
      <c r="C1" t="s">
        <v>73</v>
      </c>
      <c r="D1" t="s">
        <v>16</v>
      </c>
      <c r="I1" s="26" t="s">
        <v>128</v>
      </c>
      <c r="K1" s="26" t="s">
        <v>73</v>
      </c>
      <c r="L1" s="26" t="s">
        <v>16</v>
      </c>
      <c r="Q1" s="26" t="s">
        <v>135</v>
      </c>
      <c r="S1" s="26" t="s">
        <v>73</v>
      </c>
      <c r="T1" s="26" t="s">
        <v>16</v>
      </c>
    </row>
    <row r="2" spans="1:21">
      <c r="B2" s="3" t="s">
        <v>125</v>
      </c>
      <c r="C2" s="3" t="s">
        <v>39</v>
      </c>
      <c r="D2" s="3" t="s">
        <v>39</v>
      </c>
      <c r="E2" s="3" t="s">
        <v>17</v>
      </c>
      <c r="J2" s="27" t="s">
        <v>129</v>
      </c>
      <c r="K2" s="27" t="s">
        <v>39</v>
      </c>
      <c r="L2" s="27" t="s">
        <v>39</v>
      </c>
      <c r="M2" s="27" t="s">
        <v>17</v>
      </c>
      <c r="R2" s="27" t="s">
        <v>134</v>
      </c>
      <c r="S2" s="27" t="s">
        <v>39</v>
      </c>
      <c r="T2" s="27" t="s">
        <v>39</v>
      </c>
      <c r="U2" s="27" t="s">
        <v>17</v>
      </c>
    </row>
    <row r="3" spans="1:21">
      <c r="B3" s="4" t="s">
        <v>105</v>
      </c>
      <c r="C3" s="4">
        <v>1998</v>
      </c>
      <c r="D3" s="4">
        <v>110</v>
      </c>
      <c r="E3" s="28">
        <f>C3-D3</f>
        <v>1888</v>
      </c>
      <c r="J3" s="4" t="s">
        <v>1</v>
      </c>
      <c r="K3" s="4">
        <v>1473</v>
      </c>
      <c r="L3" s="4">
        <v>110</v>
      </c>
      <c r="M3" s="28">
        <f>K3-L3</f>
        <v>1363</v>
      </c>
      <c r="R3" s="4" t="s">
        <v>105</v>
      </c>
      <c r="S3" s="4">
        <v>313</v>
      </c>
      <c r="T3" s="4">
        <v>22</v>
      </c>
      <c r="U3" s="4">
        <f>S3-T3</f>
        <v>291</v>
      </c>
    </row>
    <row r="4" spans="1:21">
      <c r="B4" s="4" t="s">
        <v>106</v>
      </c>
      <c r="C4" s="4">
        <v>6826</v>
      </c>
      <c r="D4" s="4">
        <v>482</v>
      </c>
      <c r="E4" s="28">
        <f t="shared" ref="E4:E22" si="0">C4-D4</f>
        <v>6344</v>
      </c>
      <c r="J4" s="4" t="s">
        <v>85</v>
      </c>
      <c r="K4" s="4">
        <v>1268976</v>
      </c>
      <c r="L4" s="4">
        <v>63862</v>
      </c>
      <c r="M4" s="28">
        <f t="shared" ref="M4:M8" si="1">K4-L4</f>
        <v>1205114</v>
      </c>
      <c r="N4" s="1"/>
      <c r="R4" s="4" t="s">
        <v>106</v>
      </c>
      <c r="S4" s="4">
        <v>111</v>
      </c>
      <c r="T4" s="4">
        <v>13</v>
      </c>
      <c r="U4" s="4">
        <f t="shared" ref="U4:U17" si="2">S4-T4</f>
        <v>98</v>
      </c>
    </row>
    <row r="5" spans="1:21">
      <c r="B5" s="4" t="s">
        <v>107</v>
      </c>
      <c r="C5" s="4">
        <v>2729</v>
      </c>
      <c r="D5" s="4">
        <v>205</v>
      </c>
      <c r="E5" s="28">
        <f t="shared" si="0"/>
        <v>2524</v>
      </c>
      <c r="J5" s="4" t="s">
        <v>88</v>
      </c>
      <c r="K5" s="4">
        <v>9</v>
      </c>
      <c r="L5" s="4">
        <v>2</v>
      </c>
      <c r="M5" s="28">
        <f t="shared" si="1"/>
        <v>7</v>
      </c>
      <c r="N5" s="1"/>
      <c r="R5" s="4" t="s">
        <v>131</v>
      </c>
      <c r="S5" s="4">
        <v>30143</v>
      </c>
      <c r="T5" s="4">
        <v>1861</v>
      </c>
      <c r="U5" s="4">
        <f t="shared" si="2"/>
        <v>28282</v>
      </c>
    </row>
    <row r="6" spans="1:21" ht="45">
      <c r="B6" s="4" t="s">
        <v>108</v>
      </c>
      <c r="C6" s="4">
        <v>8363</v>
      </c>
      <c r="D6" s="4">
        <v>659</v>
      </c>
      <c r="E6" s="28">
        <f t="shared" si="0"/>
        <v>7704</v>
      </c>
      <c r="J6" s="4" t="s">
        <v>86</v>
      </c>
      <c r="K6" s="4">
        <v>589</v>
      </c>
      <c r="L6" s="4">
        <v>26</v>
      </c>
      <c r="M6" s="28">
        <f t="shared" si="1"/>
        <v>563</v>
      </c>
      <c r="N6" s="1"/>
      <c r="R6" s="4" t="s">
        <v>107</v>
      </c>
      <c r="S6" s="4">
        <v>256</v>
      </c>
      <c r="T6" s="4">
        <v>25</v>
      </c>
      <c r="U6" s="4">
        <f t="shared" si="2"/>
        <v>231</v>
      </c>
    </row>
    <row r="7" spans="1:21" ht="30">
      <c r="B7" s="4" t="s">
        <v>109</v>
      </c>
      <c r="C7" s="4">
        <v>75449</v>
      </c>
      <c r="D7" s="4">
        <v>5566</v>
      </c>
      <c r="E7" s="28">
        <f t="shared" si="0"/>
        <v>69883</v>
      </c>
      <c r="J7" s="4" t="s">
        <v>89</v>
      </c>
      <c r="K7" s="4">
        <v>3</v>
      </c>
      <c r="L7" s="28"/>
      <c r="M7" s="28">
        <f t="shared" si="1"/>
        <v>3</v>
      </c>
      <c r="N7" s="1"/>
      <c r="R7" s="4" t="s">
        <v>132</v>
      </c>
      <c r="S7" s="4">
        <v>263316</v>
      </c>
      <c r="T7" s="4">
        <v>15580</v>
      </c>
      <c r="U7" s="4">
        <f t="shared" si="2"/>
        <v>247736</v>
      </c>
    </row>
    <row r="8" spans="1:21" ht="30">
      <c r="B8" s="4" t="s">
        <v>110</v>
      </c>
      <c r="C8" s="4">
        <v>3261</v>
      </c>
      <c r="D8" s="4">
        <v>334</v>
      </c>
      <c r="E8" s="28">
        <f t="shared" si="0"/>
        <v>2927</v>
      </c>
      <c r="J8" s="4" t="s">
        <v>87</v>
      </c>
      <c r="K8" s="4">
        <v>24</v>
      </c>
      <c r="L8" s="28"/>
      <c r="M8" s="28">
        <f t="shared" si="1"/>
        <v>24</v>
      </c>
      <c r="R8" s="4" t="s">
        <v>133</v>
      </c>
      <c r="S8" s="4">
        <v>73874</v>
      </c>
      <c r="T8" s="4">
        <v>4132</v>
      </c>
      <c r="U8" s="4">
        <f t="shared" si="2"/>
        <v>69742</v>
      </c>
    </row>
    <row r="9" spans="1:21">
      <c r="B9" s="4" t="s">
        <v>111</v>
      </c>
      <c r="C9" s="4">
        <v>1532</v>
      </c>
      <c r="D9" s="4">
        <v>145</v>
      </c>
      <c r="E9" s="28">
        <f t="shared" si="0"/>
        <v>1387</v>
      </c>
      <c r="R9" s="4" t="s">
        <v>111</v>
      </c>
      <c r="S9" s="4">
        <v>1532</v>
      </c>
      <c r="T9" s="4">
        <v>145</v>
      </c>
      <c r="U9" s="4">
        <f t="shared" si="2"/>
        <v>1387</v>
      </c>
    </row>
    <row r="10" spans="1:21" ht="30">
      <c r="B10" s="4" t="s">
        <v>112</v>
      </c>
      <c r="C10" s="4">
        <v>3366</v>
      </c>
      <c r="D10" s="4">
        <v>226</v>
      </c>
      <c r="E10" s="28">
        <f t="shared" si="0"/>
        <v>3140</v>
      </c>
      <c r="R10" s="4" t="s">
        <v>112</v>
      </c>
      <c r="S10" s="4">
        <v>3366</v>
      </c>
      <c r="T10" s="4">
        <v>226</v>
      </c>
      <c r="U10" s="4">
        <f t="shared" si="2"/>
        <v>3140</v>
      </c>
    </row>
    <row r="11" spans="1:21" ht="30">
      <c r="B11" s="4" t="s">
        <v>113</v>
      </c>
      <c r="C11" s="4">
        <v>1375</v>
      </c>
      <c r="D11" s="4">
        <v>119</v>
      </c>
      <c r="E11" s="28">
        <f t="shared" si="0"/>
        <v>1256</v>
      </c>
      <c r="R11" s="4" t="s">
        <v>115</v>
      </c>
      <c r="S11" s="4">
        <v>3990</v>
      </c>
      <c r="T11" s="4">
        <v>308</v>
      </c>
      <c r="U11" s="4">
        <f t="shared" si="2"/>
        <v>3682</v>
      </c>
    </row>
    <row r="12" spans="1:21" ht="30">
      <c r="B12" s="4" t="s">
        <v>114</v>
      </c>
      <c r="C12" s="4">
        <v>2330</v>
      </c>
      <c r="D12" s="4">
        <v>201</v>
      </c>
      <c r="E12" s="28">
        <f t="shared" si="0"/>
        <v>2129</v>
      </c>
      <c r="R12" s="4" t="s">
        <v>116</v>
      </c>
      <c r="S12" s="4">
        <v>9938</v>
      </c>
      <c r="T12" s="4">
        <v>680</v>
      </c>
      <c r="U12" s="4">
        <f t="shared" si="2"/>
        <v>9258</v>
      </c>
    </row>
    <row r="13" spans="1:21">
      <c r="B13" s="4" t="s">
        <v>115</v>
      </c>
      <c r="C13" s="4">
        <v>13573</v>
      </c>
      <c r="D13" s="4">
        <v>926</v>
      </c>
      <c r="E13" s="28">
        <f t="shared" si="0"/>
        <v>12647</v>
      </c>
      <c r="R13" s="4" t="s">
        <v>136</v>
      </c>
      <c r="S13" s="4">
        <v>1</v>
      </c>
      <c r="T13" s="28"/>
      <c r="U13" s="4">
        <f t="shared" si="2"/>
        <v>1</v>
      </c>
    </row>
    <row r="14" spans="1:21" ht="30">
      <c r="B14" s="4" t="s">
        <v>116</v>
      </c>
      <c r="C14" s="4">
        <v>9938</v>
      </c>
      <c r="D14" s="4">
        <v>680</v>
      </c>
      <c r="E14" s="28">
        <f t="shared" si="0"/>
        <v>9258</v>
      </c>
      <c r="R14" s="4" t="s">
        <v>117</v>
      </c>
      <c r="S14" s="4">
        <v>35799</v>
      </c>
      <c r="T14" s="4">
        <v>2432</v>
      </c>
      <c r="U14" s="4">
        <f t="shared" si="2"/>
        <v>33367</v>
      </c>
    </row>
    <row r="15" spans="1:21" ht="30">
      <c r="B15" s="4" t="s">
        <v>117</v>
      </c>
      <c r="C15" s="4">
        <v>77973</v>
      </c>
      <c r="D15" s="4">
        <v>5250</v>
      </c>
      <c r="E15" s="28">
        <f t="shared" si="0"/>
        <v>72723</v>
      </c>
      <c r="R15" s="4" t="s">
        <v>121</v>
      </c>
      <c r="S15" s="4">
        <v>33</v>
      </c>
      <c r="T15" s="4">
        <v>4</v>
      </c>
      <c r="U15" s="4">
        <f t="shared" si="2"/>
        <v>29</v>
      </c>
    </row>
    <row r="16" spans="1:21" ht="30">
      <c r="B16" s="4" t="s">
        <v>118</v>
      </c>
      <c r="C16" s="4">
        <v>2703</v>
      </c>
      <c r="D16" s="4">
        <v>243</v>
      </c>
      <c r="E16" s="28">
        <f t="shared" si="0"/>
        <v>2460</v>
      </c>
      <c r="R16" s="4" t="s">
        <v>122</v>
      </c>
      <c r="S16" s="4">
        <v>386</v>
      </c>
      <c r="T16" s="4">
        <v>32</v>
      </c>
      <c r="U16" s="4">
        <f t="shared" si="2"/>
        <v>354</v>
      </c>
    </row>
    <row r="17" spans="2:21">
      <c r="B17" s="4" t="s">
        <v>119</v>
      </c>
      <c r="C17" s="4">
        <v>21457</v>
      </c>
      <c r="D17" s="4">
        <v>1666</v>
      </c>
      <c r="E17" s="28">
        <f t="shared" si="0"/>
        <v>19791</v>
      </c>
      <c r="R17" s="4" t="s">
        <v>123</v>
      </c>
      <c r="S17" s="4">
        <v>9613</v>
      </c>
      <c r="T17" s="4">
        <v>635</v>
      </c>
      <c r="U17" s="4">
        <f t="shared" si="2"/>
        <v>8978</v>
      </c>
    </row>
    <row r="18" spans="2:21" ht="30">
      <c r="B18" s="4" t="s">
        <v>120</v>
      </c>
      <c r="C18" s="4">
        <v>693</v>
      </c>
      <c r="D18" s="4">
        <v>57</v>
      </c>
      <c r="E18" s="28">
        <f t="shared" si="0"/>
        <v>636</v>
      </c>
    </row>
    <row r="19" spans="2:21" ht="30">
      <c r="B19" s="4" t="s">
        <v>121</v>
      </c>
      <c r="C19" s="4">
        <v>657</v>
      </c>
      <c r="D19" s="4">
        <v>64</v>
      </c>
      <c r="E19" s="28">
        <f t="shared" si="0"/>
        <v>593</v>
      </c>
    </row>
    <row r="20" spans="2:21" ht="30">
      <c r="B20" s="4" t="s">
        <v>122</v>
      </c>
      <c r="C20" s="4">
        <v>13969</v>
      </c>
      <c r="D20" s="4">
        <v>1096</v>
      </c>
      <c r="E20" s="28">
        <f t="shared" si="0"/>
        <v>12873</v>
      </c>
    </row>
    <row r="21" spans="2:21">
      <c r="B21" s="4" t="s">
        <v>123</v>
      </c>
      <c r="C21" s="4">
        <v>40160</v>
      </c>
      <c r="D21" s="4">
        <v>2711</v>
      </c>
      <c r="E21" s="28">
        <f t="shared" si="0"/>
        <v>37449</v>
      </c>
    </row>
    <row r="22" spans="2:21">
      <c r="B22" s="4" t="s">
        <v>124</v>
      </c>
      <c r="C22" s="4">
        <v>9356</v>
      </c>
      <c r="D22" s="4">
        <v>451</v>
      </c>
      <c r="E22" s="28">
        <f t="shared" si="0"/>
        <v>8905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2"/>
  <sheetViews>
    <sheetView showGridLines="0" tabSelected="1" workbookViewId="0">
      <selection sqref="A1:XFD1048576"/>
    </sheetView>
  </sheetViews>
  <sheetFormatPr defaultRowHeight="15"/>
  <cols>
    <col min="1" max="1" width="16.42578125" customWidth="1"/>
    <col min="2" max="2" width="22" customWidth="1"/>
    <col min="3" max="3" width="13.140625" customWidth="1"/>
    <col min="4" max="4" width="17.85546875" customWidth="1"/>
    <col min="5" max="5" width="28.42578125" customWidth="1"/>
  </cols>
  <sheetData>
    <row r="1" spans="1:5">
      <c r="A1" s="26" t="s">
        <v>127</v>
      </c>
    </row>
    <row r="2" spans="1:5">
      <c r="C2" s="32" t="s">
        <v>17</v>
      </c>
      <c r="D2" s="30" t="s">
        <v>16</v>
      </c>
    </row>
    <row r="3" spans="1:5">
      <c r="B3" s="33" t="s">
        <v>125</v>
      </c>
      <c r="C3" s="33" t="s">
        <v>39</v>
      </c>
      <c r="D3" s="33" t="s">
        <v>39</v>
      </c>
      <c r="E3" s="33" t="s">
        <v>126</v>
      </c>
    </row>
    <row r="4" spans="1:5">
      <c r="B4" s="4" t="s">
        <v>110</v>
      </c>
      <c r="C4" s="28">
        <v>2927</v>
      </c>
      <c r="D4" s="4">
        <v>334</v>
      </c>
      <c r="E4" s="29">
        <f t="shared" ref="E4:E23" si="0">D4/C4</f>
        <v>0.11411001024940212</v>
      </c>
    </row>
    <row r="5" spans="1:5">
      <c r="B5" s="4" t="s">
        <v>121</v>
      </c>
      <c r="C5" s="28">
        <v>593</v>
      </c>
      <c r="D5" s="4">
        <v>64</v>
      </c>
      <c r="E5" s="29">
        <f t="shared" si="0"/>
        <v>0.10792580101180438</v>
      </c>
    </row>
    <row r="6" spans="1:5">
      <c r="B6" s="4" t="s">
        <v>111</v>
      </c>
      <c r="C6" s="28">
        <v>1387</v>
      </c>
      <c r="D6" s="4">
        <v>145</v>
      </c>
      <c r="E6" s="29">
        <f t="shared" si="0"/>
        <v>0.10454217736121124</v>
      </c>
    </row>
    <row r="7" spans="1:5">
      <c r="B7" s="4" t="s">
        <v>118</v>
      </c>
      <c r="C7" s="28">
        <v>2460</v>
      </c>
      <c r="D7" s="4">
        <v>243</v>
      </c>
      <c r="E7" s="29">
        <f t="shared" si="0"/>
        <v>9.8780487804878053E-2</v>
      </c>
    </row>
    <row r="8" spans="1:5">
      <c r="B8" s="4" t="s">
        <v>113</v>
      </c>
      <c r="C8" s="28">
        <v>1256</v>
      </c>
      <c r="D8" s="4">
        <v>119</v>
      </c>
      <c r="E8" s="29">
        <f t="shared" si="0"/>
        <v>9.4745222929936312E-2</v>
      </c>
    </row>
    <row r="9" spans="1:5">
      <c r="B9" s="4" t="s">
        <v>114</v>
      </c>
      <c r="C9" s="28">
        <v>2129</v>
      </c>
      <c r="D9" s="4">
        <v>201</v>
      </c>
      <c r="E9" s="29">
        <f t="shared" si="0"/>
        <v>9.4410521371535938E-2</v>
      </c>
    </row>
    <row r="10" spans="1:5">
      <c r="B10" s="4" t="s">
        <v>120</v>
      </c>
      <c r="C10" s="28">
        <v>636</v>
      </c>
      <c r="D10" s="4">
        <v>57</v>
      </c>
      <c r="E10" s="29">
        <f t="shared" si="0"/>
        <v>8.9622641509433956E-2</v>
      </c>
    </row>
    <row r="11" spans="1:5">
      <c r="B11" s="4" t="s">
        <v>108</v>
      </c>
      <c r="C11" s="28">
        <v>7704</v>
      </c>
      <c r="D11" s="4">
        <v>659</v>
      </c>
      <c r="E11" s="29">
        <f t="shared" si="0"/>
        <v>8.5539979231568017E-2</v>
      </c>
    </row>
    <row r="12" spans="1:5">
      <c r="B12" s="4" t="s">
        <v>122</v>
      </c>
      <c r="C12" s="28">
        <v>12873</v>
      </c>
      <c r="D12" s="4">
        <v>1096</v>
      </c>
      <c r="E12" s="29">
        <f t="shared" si="0"/>
        <v>8.5139439136176498E-2</v>
      </c>
    </row>
    <row r="13" spans="1:5">
      <c r="B13" s="4" t="s">
        <v>119</v>
      </c>
      <c r="C13" s="28">
        <v>19791</v>
      </c>
      <c r="D13" s="4">
        <v>1666</v>
      </c>
      <c r="E13" s="29">
        <f t="shared" si="0"/>
        <v>8.4179677631246522E-2</v>
      </c>
    </row>
    <row r="14" spans="1:5">
      <c r="B14" s="4" t="s">
        <v>107</v>
      </c>
      <c r="C14" s="28">
        <v>2524</v>
      </c>
      <c r="D14" s="4">
        <v>205</v>
      </c>
      <c r="E14" s="29">
        <f t="shared" si="0"/>
        <v>8.1220285261489694E-2</v>
      </c>
    </row>
    <row r="15" spans="1:5">
      <c r="B15" s="4" t="s">
        <v>109</v>
      </c>
      <c r="C15" s="28">
        <v>69883</v>
      </c>
      <c r="D15" s="4">
        <v>5566</v>
      </c>
      <c r="E15" s="29">
        <f t="shared" si="0"/>
        <v>7.96474106721234E-2</v>
      </c>
    </row>
    <row r="16" spans="1:5">
      <c r="B16" s="4" t="s">
        <v>106</v>
      </c>
      <c r="C16" s="28">
        <v>6344</v>
      </c>
      <c r="D16" s="4">
        <v>482</v>
      </c>
      <c r="E16" s="29">
        <f t="shared" si="0"/>
        <v>7.5977301387137458E-2</v>
      </c>
    </row>
    <row r="17" spans="1:5">
      <c r="B17" s="4" t="s">
        <v>116</v>
      </c>
      <c r="C17" s="28">
        <v>9258</v>
      </c>
      <c r="D17" s="4">
        <v>680</v>
      </c>
      <c r="E17" s="29">
        <f t="shared" si="0"/>
        <v>7.3449989198531004E-2</v>
      </c>
    </row>
    <row r="18" spans="1:5">
      <c r="B18" s="4" t="s">
        <v>115</v>
      </c>
      <c r="C18" s="28">
        <v>12647</v>
      </c>
      <c r="D18" s="4">
        <v>926</v>
      </c>
      <c r="E18" s="29">
        <f t="shared" si="0"/>
        <v>7.3218945204396299E-2</v>
      </c>
    </row>
    <row r="19" spans="1:5">
      <c r="B19" s="4" t="s">
        <v>123</v>
      </c>
      <c r="C19" s="28">
        <v>37449</v>
      </c>
      <c r="D19" s="4">
        <v>2711</v>
      </c>
      <c r="E19" s="29">
        <f t="shared" si="0"/>
        <v>7.2391786162514349E-2</v>
      </c>
    </row>
    <row r="20" spans="1:5">
      <c r="B20" s="4" t="s">
        <v>117</v>
      </c>
      <c r="C20" s="28">
        <v>72723</v>
      </c>
      <c r="D20" s="4">
        <v>5250</v>
      </c>
      <c r="E20" s="29">
        <f t="shared" si="0"/>
        <v>7.2191741264799311E-2</v>
      </c>
    </row>
    <row r="21" spans="1:5">
      <c r="B21" s="4" t="s">
        <v>112</v>
      </c>
      <c r="C21" s="28">
        <v>3140</v>
      </c>
      <c r="D21" s="4">
        <v>226</v>
      </c>
      <c r="E21" s="29">
        <f t="shared" si="0"/>
        <v>7.1974522292993628E-2</v>
      </c>
    </row>
    <row r="22" spans="1:5">
      <c r="B22" s="4" t="s">
        <v>105</v>
      </c>
      <c r="C22" s="28">
        <v>1888</v>
      </c>
      <c r="D22" s="4">
        <v>110</v>
      </c>
      <c r="E22" s="29">
        <f t="shared" si="0"/>
        <v>5.8262711864406777E-2</v>
      </c>
    </row>
    <row r="23" spans="1:5">
      <c r="B23" s="4" t="s">
        <v>124</v>
      </c>
      <c r="C23" s="28">
        <v>8905</v>
      </c>
      <c r="D23" s="4">
        <v>451</v>
      </c>
      <c r="E23" s="29">
        <f t="shared" si="0"/>
        <v>5.0645704660303201E-2</v>
      </c>
    </row>
    <row r="26" spans="1:5">
      <c r="A26" s="26" t="s">
        <v>128</v>
      </c>
      <c r="C26" s="32" t="s">
        <v>17</v>
      </c>
      <c r="D26" s="30" t="s">
        <v>16</v>
      </c>
    </row>
    <row r="27" spans="1:5">
      <c r="B27" s="27" t="s">
        <v>129</v>
      </c>
      <c r="C27" s="27" t="s">
        <v>39</v>
      </c>
      <c r="D27" s="27" t="s">
        <v>39</v>
      </c>
      <c r="E27" s="33" t="s">
        <v>130</v>
      </c>
    </row>
    <row r="28" spans="1:5">
      <c r="B28" s="4" t="s">
        <v>1</v>
      </c>
      <c r="C28" s="28">
        <v>1363</v>
      </c>
      <c r="D28" s="4">
        <v>110</v>
      </c>
      <c r="E28" s="29">
        <f>D28/C28</f>
        <v>8.0704328686720464E-2</v>
      </c>
    </row>
    <row r="29" spans="1:5">
      <c r="B29" s="4" t="s">
        <v>85</v>
      </c>
      <c r="C29" s="28">
        <v>1205114</v>
      </c>
      <c r="D29" s="4">
        <v>63862</v>
      </c>
      <c r="E29" s="29">
        <f t="shared" ref="E29:E33" si="1">D29/C29</f>
        <v>5.299249697538988E-2</v>
      </c>
    </row>
    <row r="30" spans="1:5">
      <c r="B30" s="4" t="s">
        <v>88</v>
      </c>
      <c r="C30" s="28">
        <v>7</v>
      </c>
      <c r="D30" s="4">
        <v>2</v>
      </c>
      <c r="E30" s="29">
        <f t="shared" si="1"/>
        <v>0.2857142857142857</v>
      </c>
    </row>
    <row r="31" spans="1:5">
      <c r="B31" s="4" t="s">
        <v>86</v>
      </c>
      <c r="C31" s="28">
        <v>563</v>
      </c>
      <c r="D31" s="4">
        <v>26</v>
      </c>
      <c r="E31" s="29">
        <f t="shared" si="1"/>
        <v>4.6181172291296625E-2</v>
      </c>
    </row>
    <row r="32" spans="1:5">
      <c r="B32" s="4" t="s">
        <v>89</v>
      </c>
      <c r="C32" s="28">
        <v>3</v>
      </c>
      <c r="D32" s="28"/>
      <c r="E32" s="29">
        <f t="shared" si="1"/>
        <v>0</v>
      </c>
    </row>
    <row r="33" spans="1:5">
      <c r="B33" s="4" t="s">
        <v>87</v>
      </c>
      <c r="C33" s="28">
        <v>24</v>
      </c>
      <c r="D33" s="28"/>
      <c r="E33" s="29">
        <f t="shared" si="1"/>
        <v>0</v>
      </c>
    </row>
    <row r="36" spans="1:5">
      <c r="A36" s="26" t="s">
        <v>135</v>
      </c>
      <c r="C36" s="32" t="s">
        <v>17</v>
      </c>
      <c r="D36" s="30" t="s">
        <v>16</v>
      </c>
    </row>
    <row r="37" spans="1:5">
      <c r="B37" s="27" t="s">
        <v>125</v>
      </c>
      <c r="C37" s="27" t="s">
        <v>39</v>
      </c>
      <c r="D37" s="27" t="s">
        <v>39</v>
      </c>
      <c r="E37" s="33" t="s">
        <v>137</v>
      </c>
    </row>
    <row r="38" spans="1:5">
      <c r="B38" s="4" t="s">
        <v>105</v>
      </c>
      <c r="C38" s="28">
        <v>291</v>
      </c>
      <c r="D38" s="4">
        <v>22</v>
      </c>
      <c r="E38" s="29">
        <f>D38/C38</f>
        <v>7.560137457044673E-2</v>
      </c>
    </row>
    <row r="39" spans="1:5">
      <c r="B39" s="4" t="s">
        <v>106</v>
      </c>
      <c r="C39" s="28">
        <v>98</v>
      </c>
      <c r="D39" s="4">
        <v>13</v>
      </c>
      <c r="E39" s="29">
        <f t="shared" ref="E39:E52" si="2">D39/C39</f>
        <v>0.1326530612244898</v>
      </c>
    </row>
    <row r="40" spans="1:5">
      <c r="B40" s="4" t="s">
        <v>131</v>
      </c>
      <c r="C40" s="28">
        <v>28282</v>
      </c>
      <c r="D40" s="4">
        <v>1861</v>
      </c>
      <c r="E40" s="29">
        <f t="shared" si="2"/>
        <v>6.5801569903118598E-2</v>
      </c>
    </row>
    <row r="41" spans="1:5">
      <c r="B41" s="4" t="s">
        <v>107</v>
      </c>
      <c r="C41" s="28">
        <v>231</v>
      </c>
      <c r="D41" s="4">
        <v>25</v>
      </c>
      <c r="E41" s="29">
        <f t="shared" si="2"/>
        <v>0.10822510822510822</v>
      </c>
    </row>
    <row r="42" spans="1:5">
      <c r="B42" s="4" t="s">
        <v>132</v>
      </c>
      <c r="C42" s="28">
        <v>247736</v>
      </c>
      <c r="D42" s="4">
        <v>15580</v>
      </c>
      <c r="E42" s="29">
        <f t="shared" si="2"/>
        <v>6.2889527561597824E-2</v>
      </c>
    </row>
    <row r="43" spans="1:5">
      <c r="B43" s="4" t="s">
        <v>133</v>
      </c>
      <c r="C43" s="28">
        <v>69742</v>
      </c>
      <c r="D43" s="4">
        <v>4132</v>
      </c>
      <c r="E43" s="29">
        <f t="shared" si="2"/>
        <v>5.9246938716985463E-2</v>
      </c>
    </row>
    <row r="44" spans="1:5">
      <c r="B44" s="4" t="s">
        <v>111</v>
      </c>
      <c r="C44" s="28">
        <v>1387</v>
      </c>
      <c r="D44" s="4">
        <v>145</v>
      </c>
      <c r="E44" s="29">
        <f t="shared" si="2"/>
        <v>0.10454217736121124</v>
      </c>
    </row>
    <row r="45" spans="1:5">
      <c r="B45" s="4" t="s">
        <v>112</v>
      </c>
      <c r="C45" s="28">
        <v>3140</v>
      </c>
      <c r="D45" s="4">
        <v>226</v>
      </c>
      <c r="E45" s="29">
        <f t="shared" si="2"/>
        <v>7.1974522292993628E-2</v>
      </c>
    </row>
    <row r="46" spans="1:5">
      <c r="B46" s="4" t="s">
        <v>115</v>
      </c>
      <c r="C46" s="28">
        <v>3682</v>
      </c>
      <c r="D46" s="4">
        <v>308</v>
      </c>
      <c r="E46" s="29">
        <f t="shared" si="2"/>
        <v>8.3650190114068435E-2</v>
      </c>
    </row>
    <row r="47" spans="1:5">
      <c r="B47" s="4" t="s">
        <v>116</v>
      </c>
      <c r="C47" s="28">
        <v>9258</v>
      </c>
      <c r="D47" s="4">
        <v>680</v>
      </c>
      <c r="E47" s="29">
        <f t="shared" si="2"/>
        <v>7.3449989198531004E-2</v>
      </c>
    </row>
    <row r="48" spans="1:5">
      <c r="B48" s="4" t="s">
        <v>136</v>
      </c>
      <c r="C48" s="28">
        <v>1</v>
      </c>
      <c r="D48" s="28"/>
      <c r="E48" s="29">
        <f t="shared" si="2"/>
        <v>0</v>
      </c>
    </row>
    <row r="49" spans="2:5">
      <c r="B49" s="4" t="s">
        <v>117</v>
      </c>
      <c r="C49" s="28">
        <v>33367</v>
      </c>
      <c r="D49" s="4">
        <v>2432</v>
      </c>
      <c r="E49" s="29">
        <f t="shared" si="2"/>
        <v>7.2886384751401079E-2</v>
      </c>
    </row>
    <row r="50" spans="2:5">
      <c r="B50" s="4" t="s">
        <v>121</v>
      </c>
      <c r="C50" s="28">
        <v>29</v>
      </c>
      <c r="D50" s="4">
        <v>4</v>
      </c>
      <c r="E50" s="29">
        <f t="shared" si="2"/>
        <v>0.13793103448275862</v>
      </c>
    </row>
    <row r="51" spans="2:5">
      <c r="B51" s="4" t="s">
        <v>122</v>
      </c>
      <c r="C51" s="28">
        <v>354</v>
      </c>
      <c r="D51" s="4">
        <v>32</v>
      </c>
      <c r="E51" s="29">
        <f t="shared" si="2"/>
        <v>9.03954802259887E-2</v>
      </c>
    </row>
    <row r="52" spans="2:5">
      <c r="B52" s="4" t="s">
        <v>123</v>
      </c>
      <c r="C52" s="28">
        <v>8978</v>
      </c>
      <c r="D52" s="4">
        <v>635</v>
      </c>
      <c r="E52" s="29">
        <f t="shared" si="2"/>
        <v>7.0728447315660498E-2</v>
      </c>
    </row>
  </sheetData>
  <sortState ref="B4:E23">
    <sortCondition descending="1" ref="E4:E23"/>
  </sortState>
  <conditionalFormatting sqref="E4:E2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AGEGRP</vt:lpstr>
      <vt:lpstr>CLUSTER</vt:lpstr>
      <vt:lpstr>SHEET 2</vt:lpstr>
      <vt:lpstr>TANISHQ MIA</vt:lpstr>
      <vt:lpstr>SHEET 3</vt:lpstr>
      <vt:lpstr>EYEPLUS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Titan</dc:creator>
  <cp:lastModifiedBy>HP</cp:lastModifiedBy>
  <dcterms:created xsi:type="dcterms:W3CDTF">2020-03-02T08:40:33Z</dcterms:created>
  <dcterms:modified xsi:type="dcterms:W3CDTF">2023-05-24T06:15:08Z</dcterms:modified>
</cp:coreProperties>
</file>